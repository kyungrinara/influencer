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웹케시\Downloads\"/>
    </mc:Choice>
  </mc:AlternateContent>
  <xr:revisionPtr revIDLastSave="0" documentId="13_ncr:1_{82F11995-F894-4C90-B36A-A0CB89E68DD9}" xr6:coauthVersionLast="47" xr6:coauthVersionMax="47" xr10:uidLastSave="{00000000-0000-0000-0000-000000000000}"/>
  <workbookProtection workbookAlgorithmName="SHA-512" workbookHashValue="ZAWUEBbwhB8zeQ4Q9DEnb/rF6VPyout8c4jSfiXtzDtdU7qqn/OoxNOy+/YKBXP/YEhLETtg/vLs6GA69T0smg==" workbookSaltValue="J5IV6q6u/Sx2UtLaGRQZQw==" workbookSpinCount="100000" lockStructure="1"/>
  <bookViews>
    <workbookView xWindow="-13005" yWindow="-16320" windowWidth="29040" windowHeight="16440" activeTab="1" xr2:uid="{00000000-000D-0000-FFFF-FFFF00000000}"/>
  </bookViews>
  <sheets>
    <sheet name="발송요청서" sheetId="3" r:id="rId1"/>
    <sheet name="발송자 명단" sheetId="2" r:id="rId2"/>
    <sheet name="Ref." sheetId="5" state="hidden" r:id="rId3"/>
  </sheets>
  <definedNames>
    <definedName name="_xlnm.Print_Area" localSheetId="0">발송요청서!$A$1:$L$43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3" l="1"/>
  <c r="J20" i="3" s="1"/>
  <c r="H21" i="3"/>
  <c r="H22" i="3"/>
  <c r="H23" i="3"/>
  <c r="H24" i="3"/>
  <c r="H19" i="3" l="1"/>
  <c r="J19" i="3" s="1"/>
  <c r="A13" i="3" l="1"/>
  <c r="A14" i="3"/>
  <c r="B1" i="5" l="1"/>
  <c r="A29" i="3" s="1"/>
  <c r="J24" i="3" l="1"/>
  <c r="J23" i="3"/>
  <c r="J22" i="3"/>
  <c r="J21" i="3"/>
  <c r="I25" i="3"/>
  <c r="J25" i="3" l="1"/>
</calcChain>
</file>

<file path=xl/sharedStrings.xml><?xml version="1.0" encoding="utf-8"?>
<sst xmlns="http://schemas.openxmlformats.org/spreadsheetml/2006/main" count="55" uniqueCount="52">
  <si>
    <t>상품명</t>
    <phoneticPr fontId="1" type="noConversion"/>
  </si>
  <si>
    <t>비고</t>
    <phoneticPr fontId="1" type="noConversion"/>
  </si>
  <si>
    <t>[쿠프마케팅] 입금 계좌 정보</t>
    <phoneticPr fontId="1" type="noConversion"/>
  </si>
  <si>
    <t>발송 상품 정보 요약</t>
    <phoneticPr fontId="1" type="noConversion"/>
  </si>
  <si>
    <t>총 계</t>
    <phoneticPr fontId="1" type="noConversion"/>
  </si>
  <si>
    <t>휴대전화번호</t>
    <phoneticPr fontId="1" type="noConversion"/>
  </si>
  <si>
    <t>㈜ 쿠프마케팅</t>
    <phoneticPr fontId="1" type="noConversion"/>
  </si>
  <si>
    <t xml:space="preserve">휴대전화번호 </t>
    <phoneticPr fontId="1" type="noConversion"/>
  </si>
  <si>
    <t>부서명</t>
    <phoneticPr fontId="1" type="noConversion"/>
  </si>
  <si>
    <t>소매가</t>
    <phoneticPr fontId="1" type="noConversion"/>
  </si>
  <si>
    <t>할인율</t>
    <phoneticPr fontId="1" type="noConversion"/>
  </si>
  <si>
    <t>공급가 합계</t>
    <phoneticPr fontId="1" type="noConversion"/>
  </si>
  <si>
    <t>공급가</t>
    <phoneticPr fontId="1" type="noConversion"/>
  </si>
  <si>
    <t>발송수량</t>
    <phoneticPr fontId="1" type="noConversion"/>
  </si>
  <si>
    <t>이벤트 명</t>
    <phoneticPr fontId="1" type="noConversion"/>
  </si>
  <si>
    <t>회신번호</t>
    <phoneticPr fontId="1" type="noConversion"/>
  </si>
  <si>
    <t>상품 대금 입금 일자</t>
    <phoneticPr fontId="1" type="noConversion"/>
  </si>
  <si>
    <t>발송 요청 일자</t>
    <phoneticPr fontId="1" type="noConversion"/>
  </si>
  <si>
    <t>상품 유효기간</t>
    <phoneticPr fontId="1" type="noConversion"/>
  </si>
  <si>
    <t>계좌번호</t>
    <phoneticPr fontId="1" type="noConversion"/>
  </si>
  <si>
    <t>거래은행</t>
    <phoneticPr fontId="1" type="noConversion"/>
  </si>
  <si>
    <t>예금주</t>
    <phoneticPr fontId="1" type="noConversion"/>
  </si>
  <si>
    <t>발송 요청 정보</t>
    <phoneticPr fontId="1" type="noConversion"/>
  </si>
  <si>
    <t>국민은행</t>
  </si>
  <si>
    <t>424001-01-253655</t>
  </si>
  <si>
    <t>(주)쿠프마케팅 모바일 쿠폰 발송 요청서</t>
    <phoneticPr fontId="1" type="noConversion"/>
  </si>
  <si>
    <t>* 최초 발송 요청 시 사업자등록증 사본과 함께 보내주시기 바랍니다.</t>
    <phoneticPr fontId="1" type="noConversion"/>
  </si>
  <si>
    <t>교환처(브랜드)</t>
    <phoneticPr fontId="1" type="noConversion"/>
  </si>
  <si>
    <t>요청자 정보</t>
    <phoneticPr fontId="1" type="noConversion"/>
  </si>
  <si>
    <t>성함/직함</t>
    <phoneticPr fontId="1" type="noConversion"/>
  </si>
  <si>
    <t>직통번호</t>
    <phoneticPr fontId="1" type="noConversion"/>
  </si>
  <si>
    <t>이메일주소</t>
    <phoneticPr fontId="1" type="noConversion"/>
  </si>
  <si>
    <t>* 선입금 원칙, 기타 사항에 대해서는 별도 협의</t>
    <phoneticPr fontId="1" type="noConversion"/>
  </si>
  <si>
    <t>사업자등록번호</t>
    <phoneticPr fontId="1" type="noConversion"/>
  </si>
  <si>
    <t xml:space="preserve">
&lt; 이용 약관&gt;
본 약관은 ㈜쿠프마케팅 (이하 "을")이 모바일 쿠폰 서비스(이하 '쿠폰서비스')의 마케팅/운영을 총괄하여</t>
    <phoneticPr fontId="1" type="noConversion"/>
  </si>
  <si>
    <t xml:space="preserve">(이하 "갑")에게 '쿠폰서비스'를 제공하는 데 있어 조건 및 절차에 관한 기본적인 제반 사항을 정하고, 양 당사자간의 권리•의무를 명확히 하는데 목적이 있다.
제1조. (상호권리/책임소재) "을"은 "갑"에게 '쿠폰서비스'를 제공하는 데 있어 "갑"의 ‘쿠폰서비스’ 이용목적이 부적절 하거나 문제가 발생할 것으로 판단할 경우, "갑"에게 이를 시정하도록 요구할 수 있으며, 이를 이행하지 않아 "갑"의 귀책사유가 발생할 경우 모든 사회적/법적인 책임은 전적으로 "갑"이 부담한다.
제2조. (자료제공 및 비밀유지) "을"은 "갑"이 요청할 경우 '쿠폰서비스'에 필요한 자료를 신속하게 제공해야 한다. 단, "갑"과 "을"은 업무 진행 중 업무상 취득한 상대방의 비밀에 대해서는 상대방의 사전 승인 없이 제 삼자에게 유출하거나 다른 목적으로 사용해서는 안 된다.
제3조. (손해배상) "갑"과 "을"이 각자의 귀책사유로 인하여 서로의 권리 또는 이익이 침해된 경우, 피해 당사자는 상대방에 대해 그에 상응하는 손해배상을 청구할 수 있으며 귀책 당사자는 그에 응해야 한다.
제4조. (집행결과) "을"은 본 '쿠폰서비스'를 통해 발송된 모바일 쿠폰의 수, 발송성공률 등의 기간별 집행결과 통계보고서를 "갑"에게 제공한다.
제5조. (비용청구 및 대금지급) "갑"은 발송될 모바일 쿠폰의 수량를 기준으로 “을”에게 대금을 지급하고, “을”은 지급된 대금의 입금을 확인한 후 “갑”에게 ‘쿠폰서비스’를 제공하기로 한다.
제6조. ('쿠폰서비스' 집행 해지) 양 당사자는 상대방이 본 약관을 위반 또는 불이행할 경우, 상대방에게 서면으로 시정을 요구할 수 있으며, 이를 상대방이 10일 이내에 이행하지 않을 경우 본 약관의 동의를 해지할 수 있다.
제7조 (상품교환기간) “갑”의 고객이 수신한 '쿠폰서비스'는 모바일 쿠폰의 유효기간 이내에 지정된 교환처에서 사용할 수 있으며, 유효기간이 경과되었을 경우 모바일 쿠폰에 지정된 권리가 상실된다.
제8조. (분쟁해결 및 관할법원) 본 약관에 대한 분쟁이 발생할 경우 "갑"과 "을"은 양 당사자의 합의에 의해 해결하기로 하며, 합의가 이루어지지 않을 경우 서울중앙지방법원을 관할법원으로 한다.
</t>
    <phoneticPr fontId="1" type="noConversion"/>
  </si>
  <si>
    <t>60일</t>
  </si>
  <si>
    <t>법인명</t>
    <phoneticPr fontId="1" type="noConversion"/>
  </si>
  <si>
    <t>1644-4706 (쿠프마케팅 고객센터번호)
* 변경 가능</t>
    <phoneticPr fontId="1" type="noConversion"/>
  </si>
  <si>
    <t>웹케시</t>
    <phoneticPr fontId="1" type="noConversion"/>
  </si>
  <si>
    <t>214-86-35102</t>
    <phoneticPr fontId="1" type="noConversion"/>
  </si>
  <si>
    <t>이마트(신세계)</t>
    <phoneticPr fontId="1" type="noConversion"/>
  </si>
  <si>
    <t>신세계 이마트100,000원 상품권 교환권</t>
    <phoneticPr fontId="1" type="noConversion"/>
  </si>
  <si>
    <t>신세계 이마트50,000원 상품권 교환권</t>
    <phoneticPr fontId="1" type="noConversion"/>
  </si>
  <si>
    <t>SM사업부</t>
    <phoneticPr fontId="1" type="noConversion"/>
  </si>
  <si>
    <t>[경리나라] 파워블로거 리워드 지급</t>
    <phoneticPr fontId="1" type="noConversion"/>
  </si>
  <si>
    <t>안녕하세요, 경리나라 마케팅 담당자입니다!
블로그 리뷰에 성실하게 참여해 주셔서 감사드립니다.
정성스럽게 작성해주신 포스팅에 감사드리며,
추후 진행될 캠페인에서도 좋은 인연으로 다시 뵙기를 기대하겠습니다.
오늘도 좋은 하루 되세요! 감사합니다.
※ 상품권 유효기간 만료 시 재발송이 불가하오니,
유효기간을 꼭 확인하시고 만료 전 사용 부탁드립니다!</t>
    <phoneticPr fontId="1" type="noConversion"/>
  </si>
  <si>
    <t>윤소진 / 주임</t>
    <phoneticPr fontId="1" type="noConversion"/>
  </si>
  <si>
    <t>sjyn310@webcash.co.kr</t>
    <phoneticPr fontId="1" type="noConversion"/>
  </si>
  <si>
    <t>010-9025-1061</t>
    <phoneticPr fontId="1" type="noConversion"/>
  </si>
  <si>
    <t>02-3774-2781</t>
    <phoneticPr fontId="1" type="noConversion"/>
  </si>
  <si>
    <t>경리나라_파워블로거_N월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</si>
</sst>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##,###&quot;원&quot;"/>
    <numFmt numFmtId="177" formatCode="###,###&quot;건&quot;"/>
  </numFmts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b/>
      <u/>
      <sz val="18"/>
      <color theme="1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11"/>
      <color theme="1"/>
      <name val="맑은 고딕"/>
      <family val="3"/>
      <charset val="129"/>
      <scheme val="major"/>
    </font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u/>
      <sz val="9"/>
      <color theme="5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sz val="11"/>
      <color theme="1" tint="0.249977111117893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0"/>
      <color theme="1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3"/>
      </left>
      <right style="thin">
        <color theme="1" tint="0.499984740745262"/>
      </right>
      <top style="medium">
        <color theme="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3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3"/>
      </right>
      <top style="medium">
        <color theme="3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3"/>
      </bottom>
      <diagonal/>
    </border>
    <border>
      <left style="medium">
        <color theme="3"/>
      </left>
      <right/>
      <top/>
      <bottom/>
      <diagonal/>
    </border>
    <border>
      <left/>
      <right style="medium">
        <color theme="3"/>
      </right>
      <top/>
      <bottom/>
      <diagonal/>
    </border>
    <border>
      <left style="medium">
        <color theme="3"/>
      </left>
      <right/>
      <top/>
      <bottom style="medium">
        <color theme="3"/>
      </bottom>
      <diagonal/>
    </border>
    <border>
      <left/>
      <right/>
      <top/>
      <bottom style="medium">
        <color theme="3"/>
      </bottom>
      <diagonal/>
    </border>
    <border>
      <left/>
      <right style="medium">
        <color theme="3"/>
      </right>
      <top/>
      <bottom style="medium">
        <color theme="3"/>
      </bottom>
      <diagonal/>
    </border>
    <border>
      <left style="thick">
        <color rgb="FFFF0000"/>
      </left>
      <right style="thin">
        <color theme="1" tint="0.499984740745262"/>
      </right>
      <top style="thick">
        <color rgb="FFFF0000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ck">
        <color rgb="FFFF0000"/>
      </top>
      <bottom style="thin">
        <color theme="1" tint="0.499984740745262"/>
      </bottom>
      <diagonal/>
    </border>
    <border>
      <left style="thin">
        <color theme="1" tint="0.499984740745262"/>
      </left>
      <right style="thick">
        <color rgb="FFFF0000"/>
      </right>
      <top style="thick">
        <color rgb="FFFF0000"/>
      </top>
      <bottom style="thin">
        <color theme="1" tint="0.499984740745262"/>
      </bottom>
      <diagonal/>
    </border>
    <border>
      <left style="medium">
        <color theme="3"/>
      </left>
      <right/>
      <top style="thick">
        <color rgb="FFFF0000"/>
      </top>
      <bottom/>
      <diagonal/>
    </border>
    <border>
      <left/>
      <right/>
      <top style="thick">
        <color rgb="FFFF0000"/>
      </top>
      <bottom/>
      <diagonal/>
    </border>
    <border>
      <left/>
      <right style="medium">
        <color theme="3"/>
      </right>
      <top style="thick">
        <color rgb="FFFF0000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3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3"/>
      </bottom>
      <diagonal/>
    </border>
    <border>
      <left/>
      <right/>
      <top style="thin">
        <color theme="1" tint="0.499984740745262"/>
      </top>
      <bottom style="medium">
        <color theme="3"/>
      </bottom>
      <diagonal/>
    </border>
    <border>
      <left/>
      <right style="medium">
        <color theme="3"/>
      </right>
      <top style="thin">
        <color theme="1" tint="0.499984740745262"/>
      </top>
      <bottom style="medium">
        <color theme="3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medium">
        <color theme="3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3"/>
      </left>
      <right/>
      <top style="thin">
        <color theme="1" tint="0.499984740745262"/>
      </top>
      <bottom style="medium">
        <color theme="3"/>
      </bottom>
      <diagonal/>
    </border>
    <border>
      <left style="medium">
        <color theme="3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ck">
        <color rgb="FFFF0000"/>
      </left>
      <right/>
      <top style="thin">
        <color theme="1" tint="0.499984740745262"/>
      </top>
      <bottom style="thick">
        <color rgb="FFFF0000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ck">
        <color rgb="FFFF0000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ck">
        <color rgb="FFFF0000"/>
      </bottom>
      <diagonal/>
    </border>
    <border>
      <left/>
      <right style="thick">
        <color rgb="FFFF0000"/>
      </right>
      <top style="thin">
        <color theme="1" tint="0.499984740745262"/>
      </top>
      <bottom style="thick">
        <color rgb="FFFF000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0" fillId="4" borderId="0" xfId="0" applyFill="1">
      <alignment vertical="center"/>
    </xf>
    <xf numFmtId="0" fontId="4" fillId="4" borderId="0" xfId="0" applyFont="1" applyFill="1">
      <alignment vertical="center"/>
    </xf>
    <xf numFmtId="0" fontId="2" fillId="3" borderId="31" xfId="0" applyFont="1" applyFill="1" applyBorder="1" applyAlignment="1">
      <alignment horizontal="center" vertical="center"/>
    </xf>
    <xf numFmtId="49" fontId="0" fillId="4" borderId="0" xfId="0" applyNumberFormat="1" applyFill="1">
      <alignment vertical="center"/>
    </xf>
    <xf numFmtId="0" fontId="7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8" fillId="4" borderId="0" xfId="0" applyFont="1" applyFill="1" applyAlignment="1">
      <alignment horizontal="center" vertical="center" wrapText="1"/>
    </xf>
    <xf numFmtId="0" fontId="11" fillId="4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176" fontId="9" fillId="2" borderId="1" xfId="1" applyNumberFormat="1" applyFont="1" applyFill="1" applyBorder="1" applyAlignment="1" applyProtection="1">
      <alignment horizontal="right" vertical="center"/>
      <protection locked="0"/>
    </xf>
    <xf numFmtId="176" fontId="9" fillId="0" borderId="1" xfId="1" applyNumberFormat="1" applyFont="1" applyBorder="1" applyAlignment="1" applyProtection="1">
      <alignment horizontal="right" vertical="center"/>
      <protection hidden="1"/>
    </xf>
    <xf numFmtId="177" fontId="9" fillId="2" borderId="1" xfId="1" applyNumberFormat="1" applyFont="1" applyFill="1" applyBorder="1" applyAlignment="1" applyProtection="1">
      <alignment horizontal="right" vertical="center" shrinkToFit="1"/>
      <protection locked="0"/>
    </xf>
    <xf numFmtId="176" fontId="9" fillId="0" borderId="1" xfId="1" applyNumberFormat="1" applyFont="1" applyBorder="1" applyAlignment="1" applyProtection="1">
      <alignment vertical="center" shrinkToFit="1"/>
      <protection hidden="1"/>
    </xf>
    <xf numFmtId="9" fontId="8" fillId="2" borderId="1" xfId="2" applyFont="1" applyFill="1" applyBorder="1" applyAlignment="1" applyProtection="1">
      <alignment horizontal="right" vertical="center"/>
      <protection locked="0"/>
    </xf>
    <xf numFmtId="176" fontId="8" fillId="2" borderId="1" xfId="1" applyNumberFormat="1" applyFont="1" applyFill="1" applyBorder="1" applyAlignment="1" applyProtection="1">
      <alignment horizontal="right" vertical="center"/>
      <protection locked="0"/>
    </xf>
    <xf numFmtId="177" fontId="8" fillId="2" borderId="1" xfId="1" applyNumberFormat="1" applyFont="1" applyFill="1" applyBorder="1" applyAlignment="1" applyProtection="1">
      <alignment horizontal="right" vertical="center" shrinkToFit="1"/>
      <protection locked="0"/>
    </xf>
    <xf numFmtId="177" fontId="6" fillId="0" borderId="5" xfId="1" applyNumberFormat="1" applyFont="1" applyBorder="1" applyAlignment="1" applyProtection="1">
      <alignment horizontal="right" vertical="center" shrinkToFit="1"/>
      <protection hidden="1"/>
    </xf>
    <xf numFmtId="176" fontId="6" fillId="0" borderId="5" xfId="1" applyNumberFormat="1" applyFont="1" applyBorder="1" applyAlignment="1" applyProtection="1">
      <alignment horizontal="right" vertical="center" shrinkToFit="1"/>
      <protection hidden="1"/>
    </xf>
    <xf numFmtId="41" fontId="6" fillId="4" borderId="0" xfId="1" applyFont="1" applyFill="1" applyBorder="1" applyAlignment="1">
      <alignment horizontal="center" vertical="center"/>
    </xf>
    <xf numFmtId="41" fontId="6" fillId="4" borderId="0" xfId="1" applyFont="1" applyFill="1" applyBorder="1">
      <alignment vertical="center"/>
    </xf>
    <xf numFmtId="0" fontId="12" fillId="4" borderId="0" xfId="0" applyFont="1" applyFill="1" applyAlignment="1">
      <alignment horizontal="center" vertical="center"/>
    </xf>
    <xf numFmtId="0" fontId="13" fillId="0" borderId="0" xfId="0" applyFont="1" applyAlignment="1">
      <alignment vertical="center" wrapText="1"/>
    </xf>
    <xf numFmtId="0" fontId="15" fillId="0" borderId="0" xfId="0" applyFont="1">
      <alignment vertical="center"/>
    </xf>
    <xf numFmtId="0" fontId="14" fillId="0" borderId="0" xfId="0" applyFont="1" applyAlignment="1">
      <alignment vertical="center" wrapText="1"/>
    </xf>
    <xf numFmtId="0" fontId="16" fillId="0" borderId="31" xfId="0" applyFont="1" applyBorder="1" applyAlignment="1">
      <alignment horizontal="center" vertical="center"/>
    </xf>
    <xf numFmtId="0" fontId="16" fillId="0" borderId="31" xfId="0" applyFont="1" applyBorder="1">
      <alignment vertical="center"/>
    </xf>
    <xf numFmtId="49" fontId="16" fillId="0" borderId="31" xfId="0" applyNumberFormat="1" applyFont="1" applyBorder="1">
      <alignment vertical="center"/>
    </xf>
    <xf numFmtId="0" fontId="17" fillId="0" borderId="31" xfId="0" applyFont="1" applyBorder="1">
      <alignment vertical="center"/>
    </xf>
    <xf numFmtId="0" fontId="17" fillId="4" borderId="0" xfId="0" applyFont="1" applyFill="1">
      <alignment vertical="center"/>
    </xf>
    <xf numFmtId="176" fontId="9" fillId="0" borderId="1" xfId="1" applyNumberFormat="1" applyFont="1" applyBorder="1" applyAlignment="1" applyProtection="1">
      <alignment horizontal="right" vertical="center" shrinkToFit="1"/>
      <protection hidden="1"/>
    </xf>
    <xf numFmtId="9" fontId="9" fillId="2" borderId="1" xfId="2" applyFont="1" applyFill="1" applyBorder="1" applyAlignment="1" applyProtection="1">
      <alignment horizontal="right" vertical="center"/>
      <protection locked="0"/>
    </xf>
    <xf numFmtId="49" fontId="16" fillId="0" borderId="31" xfId="0" quotePrefix="1" applyNumberFormat="1" applyFont="1" applyBorder="1">
      <alignment vertical="center"/>
    </xf>
    <xf numFmtId="0" fontId="9" fillId="2" borderId="26" xfId="0" applyFont="1" applyFill="1" applyBorder="1" applyAlignment="1" applyProtection="1">
      <alignment horizontal="center" vertical="center" shrinkToFit="1"/>
      <protection locked="0"/>
    </xf>
    <xf numFmtId="0" fontId="9" fillId="2" borderId="18" xfId="0" applyFont="1" applyFill="1" applyBorder="1" applyAlignment="1" applyProtection="1">
      <alignment horizontal="center" vertical="center" shrinkToFit="1"/>
      <protection locked="0"/>
    </xf>
    <xf numFmtId="0" fontId="9" fillId="2" borderId="17" xfId="0" applyFont="1" applyFill="1" applyBorder="1" applyAlignment="1" applyProtection="1">
      <alignment horizontal="center" vertical="center" shrinkToFit="1"/>
      <protection locked="0"/>
    </xf>
    <xf numFmtId="0" fontId="9" fillId="2" borderId="23" xfId="0" applyFont="1" applyFill="1" applyBorder="1" applyAlignment="1" applyProtection="1">
      <alignment horizontal="center" vertical="center" shrinkToFit="1"/>
      <protection locked="0"/>
    </xf>
    <xf numFmtId="0" fontId="8" fillId="2" borderId="17" xfId="0" applyFont="1" applyFill="1" applyBorder="1" applyAlignment="1" applyProtection="1">
      <alignment horizontal="center" vertical="center" shrinkToFit="1"/>
      <protection locked="0"/>
    </xf>
    <xf numFmtId="0" fontId="8" fillId="2" borderId="24" xfId="0" applyFont="1" applyFill="1" applyBorder="1" applyAlignment="1" applyProtection="1">
      <alignment horizontal="center" vertical="center" shrinkToFit="1"/>
      <protection locked="0"/>
    </xf>
    <xf numFmtId="0" fontId="5" fillId="4" borderId="0" xfId="0" applyFont="1" applyFill="1" applyAlignment="1">
      <alignment horizontal="center" vertical="center" wrapText="1"/>
    </xf>
    <xf numFmtId="0" fontId="6" fillId="4" borderId="9" xfId="0" applyFont="1" applyFill="1" applyBorder="1" applyAlignment="1">
      <alignment horizontal="right" vertical="center" wrapText="1"/>
    </xf>
    <xf numFmtId="0" fontId="7" fillId="3" borderId="2" xfId="0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14" fontId="9" fillId="2" borderId="17" xfId="0" applyNumberFormat="1" applyFont="1" applyFill="1" applyBorder="1" applyAlignment="1" applyProtection="1">
      <alignment horizontal="center" vertical="center" wrapText="1"/>
      <protection locked="0"/>
    </xf>
    <xf numFmtId="14" fontId="9" fillId="2" borderId="23" xfId="0" applyNumberFormat="1" applyFont="1" applyFill="1" applyBorder="1" applyAlignment="1" applyProtection="1">
      <alignment horizontal="center" vertical="center"/>
      <protection locked="0"/>
    </xf>
    <xf numFmtId="14" fontId="9" fillId="2" borderId="18" xfId="0" applyNumberFormat="1" applyFont="1" applyFill="1" applyBorder="1" applyAlignment="1" applyProtection="1">
      <alignment horizontal="center" vertical="center"/>
      <protection locked="0"/>
    </xf>
    <xf numFmtId="0" fontId="7" fillId="3" borderId="25" xfId="0" applyFont="1" applyFill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26" xfId="0" applyFont="1" applyFill="1" applyBorder="1" applyAlignment="1" applyProtection="1">
      <alignment horizontal="center" vertical="center" wrapText="1"/>
      <protection hidden="1"/>
    </xf>
    <xf numFmtId="0" fontId="7" fillId="3" borderId="18" xfId="0" applyFont="1" applyFill="1" applyBorder="1" applyAlignment="1" applyProtection="1">
      <alignment horizontal="center" vertical="center" wrapText="1"/>
      <protection hidden="1"/>
    </xf>
    <xf numFmtId="0" fontId="7" fillId="3" borderId="26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11" fillId="2" borderId="19" xfId="0" applyFont="1" applyFill="1" applyBorder="1" applyAlignment="1" applyProtection="1">
      <alignment horizontal="center" vertical="center"/>
      <protection locked="0"/>
    </xf>
    <xf numFmtId="0" fontId="11" fillId="2" borderId="21" xfId="0" applyFont="1" applyFill="1" applyBorder="1" applyAlignment="1" applyProtection="1">
      <alignment horizontal="center" vertical="center"/>
      <protection locked="0"/>
    </xf>
    <xf numFmtId="0" fontId="11" fillId="2" borderId="22" xfId="0" applyFont="1" applyFill="1" applyBorder="1" applyAlignment="1" applyProtection="1">
      <alignment horizontal="center" vertical="center"/>
      <protection locked="0"/>
    </xf>
    <xf numFmtId="14" fontId="9" fillId="2" borderId="17" xfId="0" applyNumberFormat="1" applyFont="1" applyFill="1" applyBorder="1" applyAlignment="1" applyProtection="1">
      <alignment horizontal="center" vertical="center"/>
      <protection locked="0"/>
    </xf>
    <xf numFmtId="14" fontId="9" fillId="2" borderId="24" xfId="0" applyNumberFormat="1" applyFont="1" applyFill="1" applyBorder="1" applyAlignment="1" applyProtection="1">
      <alignment horizontal="center" vertical="center"/>
      <protection locked="0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7" fillId="3" borderId="17" xfId="0" applyFont="1" applyFill="1" applyBorder="1" applyAlignment="1">
      <alignment horizontal="center" vertical="center"/>
    </xf>
    <xf numFmtId="0" fontId="7" fillId="3" borderId="24" xfId="0" applyFont="1" applyFill="1" applyBorder="1" applyAlignment="1">
      <alignment horizontal="center" vertical="center"/>
    </xf>
    <xf numFmtId="0" fontId="8" fillId="2" borderId="23" xfId="0" applyFont="1" applyFill="1" applyBorder="1" applyAlignment="1" applyProtection="1">
      <alignment horizontal="center" vertical="center" shrinkToFit="1"/>
      <protection locked="0"/>
    </xf>
    <xf numFmtId="0" fontId="8" fillId="2" borderId="18" xfId="0" applyFont="1" applyFill="1" applyBorder="1" applyAlignment="1" applyProtection="1">
      <alignment horizontal="center" vertical="center" shrinkToFit="1"/>
      <protection locked="0"/>
    </xf>
    <xf numFmtId="0" fontId="7" fillId="3" borderId="1" xfId="0" applyFont="1" applyFill="1" applyBorder="1" applyAlignment="1">
      <alignment horizontal="center" vertical="center"/>
    </xf>
    <xf numFmtId="0" fontId="8" fillId="2" borderId="26" xfId="0" applyFont="1" applyFill="1" applyBorder="1" applyAlignment="1" applyProtection="1">
      <alignment horizontal="center" vertical="center" shrinkToFit="1"/>
      <protection locked="0"/>
    </xf>
    <xf numFmtId="0" fontId="9" fillId="2" borderId="17" xfId="0" applyFont="1" applyFill="1" applyBorder="1" applyAlignment="1" applyProtection="1">
      <alignment horizontal="center" vertical="center"/>
      <protection locked="0"/>
    </xf>
    <xf numFmtId="0" fontId="9" fillId="2" borderId="23" xfId="0" applyFont="1" applyFill="1" applyBorder="1" applyAlignment="1" applyProtection="1">
      <alignment horizontal="center" vertical="center"/>
      <protection locked="0"/>
    </xf>
    <xf numFmtId="0" fontId="9" fillId="2" borderId="18" xfId="0" applyFont="1" applyFill="1" applyBorder="1" applyAlignment="1" applyProtection="1">
      <alignment horizontal="center" vertical="center"/>
      <protection locked="0"/>
    </xf>
    <xf numFmtId="49" fontId="9" fillId="2" borderId="17" xfId="0" applyNumberFormat="1" applyFont="1" applyFill="1" applyBorder="1" applyAlignment="1" applyProtection="1">
      <alignment horizontal="center" vertical="center"/>
      <protection locked="0"/>
    </xf>
    <xf numFmtId="49" fontId="9" fillId="2" borderId="23" xfId="0" applyNumberFormat="1" applyFont="1" applyFill="1" applyBorder="1" applyAlignment="1" applyProtection="1">
      <alignment horizontal="center" vertical="center"/>
      <protection locked="0"/>
    </xf>
    <xf numFmtId="49" fontId="9" fillId="2" borderId="24" xfId="0" applyNumberFormat="1" applyFont="1" applyFill="1" applyBorder="1" applyAlignment="1" applyProtection="1">
      <alignment horizontal="center" vertical="center"/>
      <protection locked="0"/>
    </xf>
    <xf numFmtId="0" fontId="9" fillId="2" borderId="24" xfId="0" applyFont="1" applyFill="1" applyBorder="1" applyAlignment="1" applyProtection="1">
      <alignment horizontal="center" vertical="center"/>
      <protection locked="0"/>
    </xf>
    <xf numFmtId="0" fontId="10" fillId="2" borderId="19" xfId="0" applyFont="1" applyFill="1" applyBorder="1" applyAlignment="1" applyProtection="1">
      <alignment horizontal="center" vertical="center" wrapText="1"/>
      <protection locked="0"/>
    </xf>
    <xf numFmtId="0" fontId="10" fillId="2" borderId="21" xfId="0" applyFont="1" applyFill="1" applyBorder="1" applyAlignment="1" applyProtection="1">
      <alignment horizontal="center" vertical="center" wrapText="1"/>
      <protection locked="0"/>
    </xf>
    <xf numFmtId="0" fontId="10" fillId="2" borderId="20" xfId="0" applyFont="1" applyFill="1" applyBorder="1" applyAlignment="1" applyProtection="1">
      <alignment horizontal="center" vertical="center" wrapText="1"/>
      <protection locked="0"/>
    </xf>
    <xf numFmtId="0" fontId="9" fillId="2" borderId="17" xfId="0" applyFont="1" applyFill="1" applyBorder="1" applyAlignment="1" applyProtection="1">
      <alignment horizontal="center" vertical="center" wrapText="1" shrinkToFit="1"/>
      <protection locked="0"/>
    </xf>
    <xf numFmtId="0" fontId="9" fillId="2" borderId="23" xfId="0" applyFont="1" applyFill="1" applyBorder="1" applyAlignment="1" applyProtection="1">
      <alignment horizontal="center" vertical="center" wrapText="1" shrinkToFit="1"/>
      <protection locked="0"/>
    </xf>
    <xf numFmtId="0" fontId="9" fillId="2" borderId="24" xfId="0" applyFont="1" applyFill="1" applyBorder="1" applyAlignment="1" applyProtection="1">
      <alignment horizontal="center" vertical="center" wrapText="1" shrinkToFit="1"/>
      <protection locked="0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3" borderId="27" xfId="0" applyFont="1" applyFill="1" applyBorder="1" applyAlignment="1">
      <alignment horizontal="center" vertical="center"/>
    </xf>
    <xf numFmtId="0" fontId="7" fillId="3" borderId="28" xfId="0" applyFont="1" applyFill="1" applyBorder="1" applyAlignment="1">
      <alignment horizontal="center" vertical="center"/>
    </xf>
    <xf numFmtId="0" fontId="7" fillId="0" borderId="28" xfId="0" applyFont="1" applyBorder="1" applyAlignment="1">
      <alignment horizontal="center" vertical="center"/>
    </xf>
    <xf numFmtId="0" fontId="7" fillId="3" borderId="29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0" fontId="11" fillId="3" borderId="21" xfId="0" applyFont="1" applyFill="1" applyBorder="1" applyAlignment="1">
      <alignment horizontal="center" vertical="center"/>
    </xf>
    <xf numFmtId="0" fontId="11" fillId="3" borderId="20" xfId="0" applyFont="1" applyFill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2" borderId="17" xfId="0" applyFont="1" applyFill="1" applyBorder="1" applyAlignment="1" applyProtection="1">
      <alignment horizontal="center" vertical="center"/>
      <protection locked="0"/>
    </xf>
    <xf numFmtId="0" fontId="8" fillId="2" borderId="23" xfId="0" applyFont="1" applyFill="1" applyBorder="1" applyAlignment="1" applyProtection="1">
      <alignment horizontal="center" vertical="center"/>
      <protection locked="0"/>
    </xf>
    <xf numFmtId="0" fontId="8" fillId="2" borderId="24" xfId="0" applyFont="1" applyFill="1" applyBorder="1" applyAlignment="1" applyProtection="1">
      <alignment horizontal="center" vertical="center"/>
      <protection locked="0"/>
    </xf>
    <xf numFmtId="0" fontId="8" fillId="0" borderId="14" xfId="0" applyFont="1" applyBorder="1" applyAlignment="1" applyProtection="1">
      <alignment horizontal="left" vertical="justify" wrapText="1"/>
      <protection hidden="1"/>
    </xf>
    <xf numFmtId="0" fontId="8" fillId="0" borderId="15" xfId="0" applyFont="1" applyBorder="1" applyAlignment="1" applyProtection="1">
      <alignment horizontal="left" vertical="justify" wrapText="1"/>
      <protection hidden="1"/>
    </xf>
    <xf numFmtId="0" fontId="8" fillId="0" borderId="16" xfId="0" applyFont="1" applyBorder="1" applyAlignment="1" applyProtection="1">
      <alignment horizontal="left" vertical="justify" wrapText="1"/>
      <protection hidden="1"/>
    </xf>
    <xf numFmtId="0" fontId="8" fillId="0" borderId="6" xfId="0" applyFont="1" applyBorder="1" applyAlignment="1" applyProtection="1">
      <alignment horizontal="left" vertical="justify" wrapText="1"/>
      <protection hidden="1"/>
    </xf>
    <xf numFmtId="0" fontId="8" fillId="0" borderId="0" xfId="0" applyFont="1" applyAlignment="1" applyProtection="1">
      <alignment horizontal="left" vertical="justify" wrapText="1"/>
      <protection hidden="1"/>
    </xf>
    <xf numFmtId="0" fontId="8" fillId="0" borderId="7" xfId="0" applyFont="1" applyBorder="1" applyAlignment="1" applyProtection="1">
      <alignment horizontal="left" vertical="justify" wrapText="1"/>
      <protection hidden="1"/>
    </xf>
    <xf numFmtId="0" fontId="8" fillId="0" borderId="8" xfId="0" applyFont="1" applyBorder="1" applyAlignment="1" applyProtection="1">
      <alignment horizontal="left" vertical="justify" wrapText="1"/>
      <protection hidden="1"/>
    </xf>
    <xf numFmtId="0" fontId="8" fillId="0" borderId="9" xfId="0" applyFont="1" applyBorder="1" applyAlignment="1" applyProtection="1">
      <alignment horizontal="left" vertical="justify" wrapText="1"/>
      <protection hidden="1"/>
    </xf>
    <xf numFmtId="0" fontId="8" fillId="0" borderId="10" xfId="0" applyFont="1" applyBorder="1" applyAlignment="1" applyProtection="1">
      <alignment horizontal="left" vertical="justify" wrapText="1"/>
      <protection hidden="1"/>
    </xf>
    <xf numFmtId="0" fontId="9" fillId="2" borderId="19" xfId="0" applyFont="1" applyFill="1" applyBorder="1" applyAlignment="1" applyProtection="1">
      <alignment horizontal="center" vertical="center"/>
      <protection locked="0"/>
    </xf>
    <xf numFmtId="0" fontId="9" fillId="2" borderId="21" xfId="0" applyFont="1" applyFill="1" applyBorder="1" applyAlignment="1" applyProtection="1">
      <alignment horizontal="center" vertical="center"/>
      <protection locked="0"/>
    </xf>
    <xf numFmtId="0" fontId="9" fillId="2" borderId="22" xfId="0" applyFont="1" applyFill="1" applyBorder="1" applyAlignment="1" applyProtection="1">
      <alignment horizontal="center" vertical="center"/>
      <protection locked="0"/>
    </xf>
    <xf numFmtId="0" fontId="19" fillId="2" borderId="17" xfId="3" applyFont="1" applyFill="1" applyBorder="1" applyAlignment="1" applyProtection="1">
      <alignment horizontal="center" vertical="center"/>
      <protection locked="0"/>
    </xf>
    <xf numFmtId="0" fontId="9" fillId="2" borderId="20" xfId="0" applyFont="1" applyFill="1" applyBorder="1" applyAlignment="1" applyProtection="1">
      <alignment horizontal="center" vertical="center"/>
      <protection locked="0"/>
    </xf>
    <xf numFmtId="0" fontId="7" fillId="3" borderId="11" xfId="0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2">
    <dxf>
      <fill>
        <patternFill>
          <bgColor rgb="FFFF0000"/>
        </patternFill>
      </fill>
    </dxf>
    <dxf>
      <font>
        <strike val="0"/>
        <color auto="1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8</xdr:row>
      <xdr:rowOff>9525</xdr:rowOff>
    </xdr:from>
    <xdr:to>
      <xdr:col>4</xdr:col>
      <xdr:colOff>88404</xdr:colOff>
      <xdr:row>9</xdr:row>
      <xdr:rowOff>69374</xdr:rowOff>
    </xdr:to>
    <xdr:sp macro="" textlink="$C$5">
      <xdr:nvSpPr>
        <xdr:cNvPr id="2" name="직사각형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>
        <a:xfrm>
          <a:off x="0" y="1895475"/>
          <a:ext cx="2831604" cy="2693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none" rtlCol="0" anchor="t">
          <a:noAutofit/>
        </a:bodyPr>
        <a:lstStyle/>
        <a:p>
          <a:pPr algn="ctr"/>
          <a:fld id="{28A5FE56-B99E-4E05-A14E-E577F78496B5}" type="TxLink">
            <a:rPr lang="ko-KR" altLang="en-US" sz="1000" b="0" i="0" u="none" strike="noStrike">
              <a:solidFill>
                <a:srgbClr val="000000"/>
              </a:solidFill>
              <a:latin typeface="맑은 고딕"/>
              <a:ea typeface="맑은 고딕"/>
            </a:rPr>
            <a:pPr algn="ctr"/>
            <a:t> </a:t>
          </a:fld>
          <a:endParaRPr lang="ko-KR" altLang="en-US" sz="1100" b="1">
            <a:solidFill>
              <a:schemeClr val="accent1"/>
            </a:solidFill>
            <a:latin typeface="+mj-ea"/>
            <a:ea typeface="+mj-ea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jyn310@webcash.co.k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  <pageSetUpPr fitToPage="1"/>
  </sheetPr>
  <dimension ref="A1:M43"/>
  <sheetViews>
    <sheetView showWhiteSpace="0" zoomScaleNormal="100" zoomScalePageLayoutView="75" workbookViewId="0">
      <selection activeCell="C12" sqref="C12:L12"/>
    </sheetView>
  </sheetViews>
  <sheetFormatPr defaultColWidth="9" defaultRowHeight="16.5"/>
  <cols>
    <col min="1" max="12" width="10.125" style="2" customWidth="1"/>
    <col min="13" max="16384" width="9" style="1"/>
  </cols>
  <sheetData>
    <row r="1" spans="1:13" ht="24.95" customHeight="1">
      <c r="A1" s="39" t="s">
        <v>25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3" ht="24.95" customHeight="1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3" ht="14.1" customHeight="1" thickBot="1">
      <c r="A3" s="40" t="s">
        <v>26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ht="24.95" customHeight="1">
      <c r="A4" s="41" t="s">
        <v>28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3"/>
    </row>
    <row r="5" spans="1:13" ht="24.95" customHeight="1">
      <c r="A5" s="51" t="s">
        <v>37</v>
      </c>
      <c r="B5" s="52"/>
      <c r="C5" s="91" t="s">
        <v>39</v>
      </c>
      <c r="D5" s="92"/>
      <c r="E5" s="92"/>
      <c r="F5" s="92"/>
      <c r="G5" s="92"/>
      <c r="H5" s="92"/>
      <c r="I5" s="92"/>
      <c r="J5" s="92"/>
      <c r="K5" s="92"/>
      <c r="L5" s="93"/>
    </row>
    <row r="6" spans="1:13" ht="24.95" customHeight="1">
      <c r="A6" s="51" t="s">
        <v>33</v>
      </c>
      <c r="B6" s="52"/>
      <c r="C6" s="67" t="s">
        <v>40</v>
      </c>
      <c r="D6" s="68"/>
      <c r="E6" s="68"/>
      <c r="F6" s="69"/>
      <c r="G6" s="61" t="s">
        <v>8</v>
      </c>
      <c r="H6" s="52"/>
      <c r="I6" s="67" t="s">
        <v>44</v>
      </c>
      <c r="J6" s="68"/>
      <c r="K6" s="68"/>
      <c r="L6" s="73"/>
    </row>
    <row r="7" spans="1:13" ht="24.95" customHeight="1">
      <c r="A7" s="51" t="s">
        <v>29</v>
      </c>
      <c r="B7" s="52"/>
      <c r="C7" s="67" t="s">
        <v>47</v>
      </c>
      <c r="D7" s="68"/>
      <c r="E7" s="68"/>
      <c r="F7" s="69"/>
      <c r="G7" s="61" t="s">
        <v>31</v>
      </c>
      <c r="H7" s="52"/>
      <c r="I7" s="106" t="s">
        <v>48</v>
      </c>
      <c r="J7" s="68"/>
      <c r="K7" s="68"/>
      <c r="L7" s="73"/>
    </row>
    <row r="8" spans="1:13" ht="24.95" customHeight="1" thickBot="1">
      <c r="A8" s="47" t="s">
        <v>30</v>
      </c>
      <c r="B8" s="48"/>
      <c r="C8" s="103" t="s">
        <v>50</v>
      </c>
      <c r="D8" s="104"/>
      <c r="E8" s="104"/>
      <c r="F8" s="107"/>
      <c r="G8" s="58" t="s">
        <v>7</v>
      </c>
      <c r="H8" s="48"/>
      <c r="I8" s="103" t="s">
        <v>49</v>
      </c>
      <c r="J8" s="104"/>
      <c r="K8" s="104"/>
      <c r="L8" s="105"/>
    </row>
    <row r="9" spans="1:13" ht="9.9499999999999993" customHeight="1" thickBot="1">
      <c r="A9" s="5"/>
      <c r="B9" s="5"/>
      <c r="C9" s="5"/>
      <c r="D9" s="6"/>
      <c r="E9" s="6"/>
      <c r="F9" s="6"/>
      <c r="G9" s="5"/>
      <c r="H9" s="5"/>
      <c r="I9" s="5"/>
      <c r="J9" s="6"/>
      <c r="K9" s="6"/>
      <c r="L9" s="6"/>
    </row>
    <row r="10" spans="1:13" ht="24.95" customHeight="1">
      <c r="A10" s="41" t="s">
        <v>22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3"/>
    </row>
    <row r="11" spans="1:13" ht="24.95" customHeight="1">
      <c r="A11" s="51" t="s">
        <v>16</v>
      </c>
      <c r="B11" s="52"/>
      <c r="C11" s="44" t="s">
        <v>32</v>
      </c>
      <c r="D11" s="45"/>
      <c r="E11" s="45"/>
      <c r="F11" s="46"/>
      <c r="G11" s="59" t="s">
        <v>17</v>
      </c>
      <c r="H11" s="60"/>
      <c r="I11" s="56">
        <v>46111</v>
      </c>
      <c r="J11" s="45"/>
      <c r="K11" s="45"/>
      <c r="L11" s="57"/>
    </row>
    <row r="12" spans="1:13" ht="24.95" customHeight="1">
      <c r="A12" s="51" t="s">
        <v>14</v>
      </c>
      <c r="B12" s="52"/>
      <c r="C12" s="67" t="s">
        <v>51</v>
      </c>
      <c r="D12" s="68"/>
      <c r="E12" s="68"/>
      <c r="F12" s="68"/>
      <c r="G12" s="68"/>
      <c r="H12" s="68"/>
      <c r="I12" s="68"/>
      <c r="J12" s="68"/>
      <c r="K12" s="68"/>
      <c r="L12" s="73"/>
    </row>
    <row r="13" spans="1:13" ht="24.95" customHeight="1">
      <c r="A13" s="49" t="str">
        <f>"문자 제목"&amp;" (현재 "&amp;LENB(C13)&amp;"byte)"</f>
        <v>문자 제목 (현재 33byte)</v>
      </c>
      <c r="B13" s="50"/>
      <c r="C13" s="70" t="s">
        <v>45</v>
      </c>
      <c r="D13" s="71"/>
      <c r="E13" s="71"/>
      <c r="F13" s="71"/>
      <c r="G13" s="71"/>
      <c r="H13" s="71"/>
      <c r="I13" s="71"/>
      <c r="J13" s="71"/>
      <c r="K13" s="71"/>
      <c r="L13" s="72"/>
      <c r="M13" s="4"/>
    </row>
    <row r="14" spans="1:13" ht="81" customHeight="1">
      <c r="A14" s="49" t="str">
        <f>"문자 내용"&amp;" (현재 "&amp;LENB(C14)&amp;"byte)"</f>
        <v>문자 내용 (현재 342byte)</v>
      </c>
      <c r="B14" s="50"/>
      <c r="C14" s="77" t="s">
        <v>46</v>
      </c>
      <c r="D14" s="78"/>
      <c r="E14" s="78"/>
      <c r="F14" s="78"/>
      <c r="G14" s="78"/>
      <c r="H14" s="78"/>
      <c r="I14" s="78"/>
      <c r="J14" s="78"/>
      <c r="K14" s="78"/>
      <c r="L14" s="79"/>
    </row>
    <row r="15" spans="1:13" ht="24.95" customHeight="1" thickBot="1">
      <c r="A15" s="47" t="s">
        <v>15</v>
      </c>
      <c r="B15" s="48"/>
      <c r="C15" s="74" t="s">
        <v>38</v>
      </c>
      <c r="D15" s="75"/>
      <c r="E15" s="75"/>
      <c r="F15" s="76"/>
      <c r="G15" s="58" t="s">
        <v>18</v>
      </c>
      <c r="H15" s="48"/>
      <c r="I15" s="53" t="s">
        <v>36</v>
      </c>
      <c r="J15" s="54"/>
      <c r="K15" s="54"/>
      <c r="L15" s="55"/>
    </row>
    <row r="16" spans="1:13" ht="9.9499999999999993" customHeight="1" thickBot="1">
      <c r="A16" s="5"/>
      <c r="B16" s="5"/>
      <c r="C16" s="5"/>
      <c r="D16" s="7"/>
      <c r="E16" s="7"/>
      <c r="F16" s="7"/>
      <c r="G16" s="5"/>
      <c r="H16" s="5"/>
      <c r="I16" s="5"/>
      <c r="J16" s="8"/>
      <c r="K16" s="8"/>
      <c r="L16" s="8"/>
    </row>
    <row r="17" spans="1:12" ht="24.95" customHeight="1">
      <c r="A17" s="41" t="s">
        <v>3</v>
      </c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3"/>
    </row>
    <row r="18" spans="1:12" ht="24.95" customHeight="1">
      <c r="A18" s="51" t="s">
        <v>27</v>
      </c>
      <c r="B18" s="52"/>
      <c r="C18" s="65" t="s">
        <v>0</v>
      </c>
      <c r="D18" s="65"/>
      <c r="E18" s="65"/>
      <c r="F18" s="9" t="s">
        <v>9</v>
      </c>
      <c r="G18" s="9" t="s">
        <v>10</v>
      </c>
      <c r="H18" s="9" t="s">
        <v>12</v>
      </c>
      <c r="I18" s="9" t="s">
        <v>13</v>
      </c>
      <c r="J18" s="9" t="s">
        <v>11</v>
      </c>
      <c r="K18" s="61" t="s">
        <v>1</v>
      </c>
      <c r="L18" s="62"/>
    </row>
    <row r="19" spans="1:12" ht="24.95" customHeight="1">
      <c r="A19" s="33" t="s">
        <v>41</v>
      </c>
      <c r="B19" s="34"/>
      <c r="C19" s="35" t="s">
        <v>42</v>
      </c>
      <c r="D19" s="36"/>
      <c r="E19" s="34"/>
      <c r="F19" s="10">
        <v>100000</v>
      </c>
      <c r="G19" s="31">
        <v>0.02</v>
      </c>
      <c r="H19" s="11">
        <f t="shared" ref="H19:H20" si="0">IF((1-G19)*F19=0,"",(1-G19)*F19)</f>
        <v>98000</v>
      </c>
      <c r="I19" s="12">
        <v>0</v>
      </c>
      <c r="J19" s="30" t="str">
        <f t="shared" ref="J19" si="1">IFERROR(IF(H19*I19=0,"",H19*I19),"")</f>
        <v/>
      </c>
      <c r="K19" s="37"/>
      <c r="L19" s="38"/>
    </row>
    <row r="20" spans="1:12" ht="24.95" customHeight="1">
      <c r="A20" s="33" t="s">
        <v>41</v>
      </c>
      <c r="B20" s="34"/>
      <c r="C20" s="35" t="s">
        <v>43</v>
      </c>
      <c r="D20" s="36"/>
      <c r="E20" s="34"/>
      <c r="F20" s="10">
        <v>50000</v>
      </c>
      <c r="G20" s="31">
        <v>0.02</v>
      </c>
      <c r="H20" s="11">
        <f t="shared" si="0"/>
        <v>49000</v>
      </c>
      <c r="I20" s="12">
        <v>0</v>
      </c>
      <c r="J20" s="30" t="str">
        <f t="shared" ref="J20" si="2">IFERROR(IF(H20*I20=0,"",H20*I20),"")</f>
        <v/>
      </c>
      <c r="K20" s="37"/>
      <c r="L20" s="38"/>
    </row>
    <row r="21" spans="1:12" ht="24.95" customHeight="1">
      <c r="A21" s="66"/>
      <c r="B21" s="64"/>
      <c r="C21" s="37"/>
      <c r="D21" s="63"/>
      <c r="E21" s="64"/>
      <c r="F21" s="10"/>
      <c r="G21" s="14"/>
      <c r="H21" s="11" t="str">
        <f t="shared" ref="H21:H24" si="3">IF((1-G21)*F21=0,"",(1-G21)*F21)</f>
        <v/>
      </c>
      <c r="I21" s="12"/>
      <c r="J21" s="13" t="str">
        <f t="shared" ref="J21:J24" si="4">IFERROR(IF(H21*I21=0,"",H21*I21),"")</f>
        <v/>
      </c>
      <c r="K21" s="37"/>
      <c r="L21" s="38"/>
    </row>
    <row r="22" spans="1:12" ht="24.95" customHeight="1">
      <c r="A22" s="66"/>
      <c r="B22" s="64"/>
      <c r="C22" s="37"/>
      <c r="D22" s="63"/>
      <c r="E22" s="64"/>
      <c r="F22" s="10"/>
      <c r="G22" s="14"/>
      <c r="H22" s="11" t="str">
        <f t="shared" si="3"/>
        <v/>
      </c>
      <c r="I22" s="12"/>
      <c r="J22" s="13" t="str">
        <f t="shared" si="4"/>
        <v/>
      </c>
      <c r="K22" s="37"/>
      <c r="L22" s="38"/>
    </row>
    <row r="23" spans="1:12" ht="24.95" customHeight="1">
      <c r="A23" s="66"/>
      <c r="B23" s="64"/>
      <c r="C23" s="37"/>
      <c r="D23" s="63"/>
      <c r="E23" s="64"/>
      <c r="F23" s="15"/>
      <c r="G23" s="14"/>
      <c r="H23" s="11" t="str">
        <f t="shared" si="3"/>
        <v/>
      </c>
      <c r="I23" s="16"/>
      <c r="J23" s="13" t="str">
        <f t="shared" si="4"/>
        <v/>
      </c>
      <c r="K23" s="37"/>
      <c r="L23" s="38"/>
    </row>
    <row r="24" spans="1:12" ht="24.95" customHeight="1">
      <c r="A24" s="66"/>
      <c r="B24" s="64"/>
      <c r="C24" s="37"/>
      <c r="D24" s="63"/>
      <c r="E24" s="64"/>
      <c r="F24" s="15"/>
      <c r="G24" s="14"/>
      <c r="H24" s="11" t="str">
        <f t="shared" si="3"/>
        <v/>
      </c>
      <c r="I24" s="16"/>
      <c r="J24" s="13" t="str">
        <f t="shared" si="4"/>
        <v/>
      </c>
      <c r="K24" s="37"/>
      <c r="L24" s="38"/>
    </row>
    <row r="25" spans="1:12" ht="24.95" customHeight="1" thickBot="1">
      <c r="A25" s="86" t="s">
        <v>4</v>
      </c>
      <c r="B25" s="87"/>
      <c r="C25" s="87"/>
      <c r="D25" s="87"/>
      <c r="E25" s="87"/>
      <c r="F25" s="87"/>
      <c r="G25" s="87"/>
      <c r="H25" s="88"/>
      <c r="I25" s="17" t="str">
        <f>IFERROR(IF(SUM(I19:I24)=0,"",SUM(I19:I24)),"")</f>
        <v/>
      </c>
      <c r="J25" s="18" t="str">
        <f>IFERROR(IF(SUM(J19:J24)=0,"",SUM(J19:J24)),"")</f>
        <v/>
      </c>
      <c r="K25" s="89"/>
      <c r="L25" s="90"/>
    </row>
    <row r="26" spans="1:12" ht="9.9499999999999993" customHeight="1" thickBot="1">
      <c r="A26" s="8"/>
      <c r="B26" s="8"/>
      <c r="C26" s="8"/>
      <c r="D26" s="8"/>
      <c r="E26" s="8"/>
      <c r="F26" s="8"/>
      <c r="G26" s="8"/>
      <c r="H26" s="8"/>
      <c r="I26" s="19"/>
      <c r="J26" s="20"/>
      <c r="K26" s="21"/>
      <c r="L26" s="21"/>
    </row>
    <row r="27" spans="1:12" ht="24.95" customHeight="1" thickTop="1">
      <c r="A27" s="108" t="s">
        <v>2</v>
      </c>
      <c r="B27" s="109"/>
      <c r="C27" s="109"/>
      <c r="D27" s="109"/>
      <c r="E27" s="109"/>
      <c r="F27" s="109"/>
      <c r="G27" s="109"/>
      <c r="H27" s="109"/>
      <c r="I27" s="109"/>
      <c r="J27" s="109"/>
      <c r="K27" s="109"/>
      <c r="L27" s="110"/>
    </row>
    <row r="28" spans="1:12" ht="24.95" customHeight="1" thickBot="1">
      <c r="A28" s="82" t="s">
        <v>20</v>
      </c>
      <c r="B28" s="83"/>
      <c r="C28" s="80" t="s">
        <v>23</v>
      </c>
      <c r="D28" s="84"/>
      <c r="E28" s="85" t="s">
        <v>21</v>
      </c>
      <c r="F28" s="83"/>
      <c r="G28" s="80" t="s">
        <v>6</v>
      </c>
      <c r="H28" s="84"/>
      <c r="I28" s="85" t="s">
        <v>19</v>
      </c>
      <c r="J28" s="83"/>
      <c r="K28" s="80" t="s">
        <v>24</v>
      </c>
      <c r="L28" s="81"/>
    </row>
    <row r="29" spans="1:12" ht="24.95" customHeight="1" thickTop="1">
      <c r="A29" s="94" t="str">
        <f>'Ref.'!A1&amp;"  "&amp;'Ref.'!B1&amp;"  "&amp;'Ref.'!C1</f>
        <v xml:space="preserve">
&lt; 이용 약관&gt;
본 약관은 ㈜쿠프마케팅 (이하 "을")이 모바일 쿠폰 서비스(이하 '쿠폰서비스')의 마케팅/운영을 총괄하여  웹케시  (이하 "갑")에게 '쿠폰서비스'를 제공하는 데 있어 조건 및 절차에 관한 기본적인 제반 사항을 정하고, 양 당사자간의 권리•의무를 명확히 하는데 목적이 있다.
제1조. (상호권리/책임소재) "을"은 "갑"에게 '쿠폰서비스'를 제공하는 데 있어 "갑"의 ‘쿠폰서비스’ 이용목적이 부적절 하거나 문제가 발생할 것으로 판단할 경우, "갑"에게 이를 시정하도록 요구할 수 있으며, 이를 이행하지 않아 "갑"의 귀책사유가 발생할 경우 모든 사회적/법적인 책임은 전적으로 "갑"이 부담한다.
제2조. (자료제공 및 비밀유지) "을"은 "갑"이 요청할 경우 '쿠폰서비스'에 필요한 자료를 신속하게 제공해야 한다. 단, "갑"과 "을"은 업무 진행 중 업무상 취득한 상대방의 비밀에 대해서는 상대방의 사전 승인 없이 제 삼자에게 유출하거나 다른 목적으로 사용해서는 안 된다.
제3조. (손해배상) "갑"과 "을"이 각자의 귀책사유로 인하여 서로의 권리 또는 이익이 침해된 경우, 피해 당사자는 상대방에 대해 그에 상응하는 손해배상을 청구할 수 있으며 귀책 당사자는 그에 응해야 한다.
제4조. (집행결과) "을"은 본 '쿠폰서비스'를 통해 발송된 모바일 쿠폰의 수, 발송성공률 등의 기간별 집행결과 통계보고서를 "갑"에게 제공한다.
제5조. (비용청구 및 대금지급) "갑"은 발송될 모바일 쿠폰의 수량를 기준으로 “을”에게 대금을 지급하고, “을”은 지급된 대금의 입금을 확인한 후 “갑”에게 ‘쿠폰서비스’를 제공하기로 한다.
제6조. ('쿠폰서비스' 집행 해지) 양 당사자는 상대방이 본 약관을 위반 또는 불이행할 경우, 상대방에게 서면으로 시정을 요구할 수 있으며, 이를 상대방이 10일 이내에 이행하지 않을 경우 본 약관의 동의를 해지할 수 있다.
제7조 (상품교환기간) “갑”의 고객이 수신한 '쿠폰서비스'는 모바일 쿠폰의 유효기간 이내에 지정된 교환처에서 사용할 수 있으며, 유효기간이 경과되었을 경우 모바일 쿠폰에 지정된 권리가 상실된다.
제8조. (분쟁해결 및 관할법원) 본 약관에 대한 분쟁이 발생할 경우 "갑"과 "을"은 양 당사자의 합의에 의해 해결하기로 하며, 합의가 이루어지지 않을 경우 서울중앙지방법원을 관할법원으로 한다.
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6"/>
    </row>
    <row r="30" spans="1:12" ht="24.95" customHeight="1">
      <c r="A30" s="97"/>
      <c r="B30" s="98"/>
      <c r="C30" s="98"/>
      <c r="D30" s="98"/>
      <c r="E30" s="98"/>
      <c r="F30" s="98"/>
      <c r="G30" s="98"/>
      <c r="H30" s="98"/>
      <c r="I30" s="98"/>
      <c r="J30" s="98"/>
      <c r="K30" s="98"/>
      <c r="L30" s="99"/>
    </row>
    <row r="31" spans="1:12" ht="24.95" customHeight="1">
      <c r="A31" s="97"/>
      <c r="B31" s="98"/>
      <c r="C31" s="98"/>
      <c r="D31" s="98"/>
      <c r="E31" s="98"/>
      <c r="F31" s="98"/>
      <c r="G31" s="98"/>
      <c r="H31" s="98"/>
      <c r="I31" s="98"/>
      <c r="J31" s="98"/>
      <c r="K31" s="98"/>
      <c r="L31" s="99"/>
    </row>
    <row r="32" spans="1:12" ht="24.95" customHeight="1">
      <c r="A32" s="97"/>
      <c r="B32" s="98"/>
      <c r="C32" s="98"/>
      <c r="D32" s="98"/>
      <c r="E32" s="98"/>
      <c r="F32" s="98"/>
      <c r="G32" s="98"/>
      <c r="H32" s="98"/>
      <c r="I32" s="98"/>
      <c r="J32" s="98"/>
      <c r="K32" s="98"/>
      <c r="L32" s="99"/>
    </row>
    <row r="33" spans="1:12" ht="24.95" customHeight="1">
      <c r="A33" s="97"/>
      <c r="B33" s="98"/>
      <c r="C33" s="98"/>
      <c r="D33" s="98"/>
      <c r="E33" s="98"/>
      <c r="F33" s="98"/>
      <c r="G33" s="98"/>
      <c r="H33" s="98"/>
      <c r="I33" s="98"/>
      <c r="J33" s="98"/>
      <c r="K33" s="98"/>
      <c r="L33" s="99"/>
    </row>
    <row r="34" spans="1:12" ht="24.95" customHeight="1">
      <c r="A34" s="97"/>
      <c r="B34" s="98"/>
      <c r="C34" s="98"/>
      <c r="D34" s="98"/>
      <c r="E34" s="98"/>
      <c r="F34" s="98"/>
      <c r="G34" s="98"/>
      <c r="H34" s="98"/>
      <c r="I34" s="98"/>
      <c r="J34" s="98"/>
      <c r="K34" s="98"/>
      <c r="L34" s="99"/>
    </row>
    <row r="35" spans="1:12" ht="24.95" customHeight="1">
      <c r="A35" s="97"/>
      <c r="B35" s="98"/>
      <c r="C35" s="98"/>
      <c r="D35" s="98"/>
      <c r="E35" s="98"/>
      <c r="F35" s="98"/>
      <c r="G35" s="98"/>
      <c r="H35" s="98"/>
      <c r="I35" s="98"/>
      <c r="J35" s="98"/>
      <c r="K35" s="98"/>
      <c r="L35" s="99"/>
    </row>
    <row r="36" spans="1:12" ht="24.95" customHeight="1">
      <c r="A36" s="97"/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9"/>
    </row>
    <row r="37" spans="1:12" ht="24.95" customHeight="1">
      <c r="A37" s="97"/>
      <c r="B37" s="98"/>
      <c r="C37" s="98"/>
      <c r="D37" s="98"/>
      <c r="E37" s="98"/>
      <c r="F37" s="98"/>
      <c r="G37" s="98"/>
      <c r="H37" s="98"/>
      <c r="I37" s="98"/>
      <c r="J37" s="98"/>
      <c r="K37" s="98"/>
      <c r="L37" s="99"/>
    </row>
    <row r="38" spans="1:12" ht="24.95" customHeight="1">
      <c r="A38" s="97"/>
      <c r="B38" s="98"/>
      <c r="C38" s="98"/>
      <c r="D38" s="98"/>
      <c r="E38" s="98"/>
      <c r="F38" s="98"/>
      <c r="G38" s="98"/>
      <c r="H38" s="98"/>
      <c r="I38" s="98"/>
      <c r="J38" s="98"/>
      <c r="K38" s="98"/>
      <c r="L38" s="99"/>
    </row>
    <row r="39" spans="1:12" ht="24.95" customHeight="1">
      <c r="A39" s="97"/>
      <c r="B39" s="98"/>
      <c r="C39" s="98"/>
      <c r="D39" s="98"/>
      <c r="E39" s="98"/>
      <c r="F39" s="98"/>
      <c r="G39" s="98"/>
      <c r="H39" s="98"/>
      <c r="I39" s="98"/>
      <c r="J39" s="98"/>
      <c r="K39" s="98"/>
      <c r="L39" s="99"/>
    </row>
    <row r="40" spans="1:12" ht="24.95" customHeight="1">
      <c r="A40" s="97"/>
      <c r="B40" s="98"/>
      <c r="C40" s="98"/>
      <c r="D40" s="98"/>
      <c r="E40" s="98"/>
      <c r="F40" s="98"/>
      <c r="G40" s="98"/>
      <c r="H40" s="98"/>
      <c r="I40" s="98"/>
      <c r="J40" s="98"/>
      <c r="K40" s="98"/>
      <c r="L40" s="99"/>
    </row>
    <row r="41" spans="1:12" ht="24.95" customHeight="1">
      <c r="A41" s="97"/>
      <c r="B41" s="98"/>
      <c r="C41" s="98"/>
      <c r="D41" s="98"/>
      <c r="E41" s="98"/>
      <c r="F41" s="98"/>
      <c r="G41" s="98"/>
      <c r="H41" s="98"/>
      <c r="I41" s="98"/>
      <c r="J41" s="98"/>
      <c r="K41" s="98"/>
      <c r="L41" s="99"/>
    </row>
    <row r="42" spans="1:12" ht="24.95" customHeight="1">
      <c r="A42" s="97"/>
      <c r="B42" s="98"/>
      <c r="C42" s="98"/>
      <c r="D42" s="98"/>
      <c r="E42" s="98"/>
      <c r="F42" s="98"/>
      <c r="G42" s="98"/>
      <c r="H42" s="98"/>
      <c r="I42" s="98"/>
      <c r="J42" s="98"/>
      <c r="K42" s="98"/>
      <c r="L42" s="99"/>
    </row>
    <row r="43" spans="1:12" ht="24.95" customHeight="1" thickBot="1">
      <c r="A43" s="100"/>
      <c r="B43" s="101"/>
      <c r="C43" s="101"/>
      <c r="D43" s="101"/>
      <c r="E43" s="101"/>
      <c r="F43" s="101"/>
      <c r="G43" s="101"/>
      <c r="H43" s="101"/>
      <c r="I43" s="101"/>
      <c r="J43" s="101"/>
      <c r="K43" s="101"/>
      <c r="L43" s="102"/>
    </row>
  </sheetData>
  <mergeCells count="64">
    <mergeCell ref="C5:L5"/>
    <mergeCell ref="A5:B5"/>
    <mergeCell ref="C21:E21"/>
    <mergeCell ref="A29:L43"/>
    <mergeCell ref="G6:H6"/>
    <mergeCell ref="G7:H7"/>
    <mergeCell ref="G8:H8"/>
    <mergeCell ref="I8:L8"/>
    <mergeCell ref="I7:L7"/>
    <mergeCell ref="I6:L6"/>
    <mergeCell ref="A8:B8"/>
    <mergeCell ref="A7:B7"/>
    <mergeCell ref="A6:B6"/>
    <mergeCell ref="C8:F8"/>
    <mergeCell ref="C7:F7"/>
    <mergeCell ref="A27:L27"/>
    <mergeCell ref="C15:F15"/>
    <mergeCell ref="C14:L14"/>
    <mergeCell ref="A24:B24"/>
    <mergeCell ref="A23:B23"/>
    <mergeCell ref="K28:L28"/>
    <mergeCell ref="A28:B28"/>
    <mergeCell ref="C28:D28"/>
    <mergeCell ref="E28:F28"/>
    <mergeCell ref="G28:H28"/>
    <mergeCell ref="I28:J28"/>
    <mergeCell ref="A25:H25"/>
    <mergeCell ref="K25:L25"/>
    <mergeCell ref="K24:L24"/>
    <mergeCell ref="K23:L23"/>
    <mergeCell ref="C24:E24"/>
    <mergeCell ref="C23:E23"/>
    <mergeCell ref="K22:L22"/>
    <mergeCell ref="K20:L20"/>
    <mergeCell ref="K18:L18"/>
    <mergeCell ref="A17:L17"/>
    <mergeCell ref="A4:L4"/>
    <mergeCell ref="C22:E22"/>
    <mergeCell ref="C20:E20"/>
    <mergeCell ref="C18:E18"/>
    <mergeCell ref="A22:B22"/>
    <mergeCell ref="A20:B20"/>
    <mergeCell ref="A18:B18"/>
    <mergeCell ref="C6:F6"/>
    <mergeCell ref="A21:B21"/>
    <mergeCell ref="K21:L21"/>
    <mergeCell ref="C13:L13"/>
    <mergeCell ref="C12:L12"/>
    <mergeCell ref="A19:B19"/>
    <mergeCell ref="C19:E19"/>
    <mergeCell ref="K19:L19"/>
    <mergeCell ref="A1:L2"/>
    <mergeCell ref="A3:L3"/>
    <mergeCell ref="A10:L10"/>
    <mergeCell ref="C11:F11"/>
    <mergeCell ref="A15:B15"/>
    <mergeCell ref="A14:B14"/>
    <mergeCell ref="A13:B13"/>
    <mergeCell ref="A11:B11"/>
    <mergeCell ref="A12:B12"/>
    <mergeCell ref="I15:L15"/>
    <mergeCell ref="I11:L11"/>
    <mergeCell ref="G15:H15"/>
    <mergeCell ref="G11:H11"/>
  </mergeCells>
  <phoneticPr fontId="1" type="noConversion"/>
  <conditionalFormatting sqref="A13:B13">
    <cfRule type="expression" dxfId="1" priority="2">
      <formula>LENB($C$13)&gt;40</formula>
    </cfRule>
  </conditionalFormatting>
  <conditionalFormatting sqref="A14:B14">
    <cfRule type="expression" dxfId="0" priority="1">
      <formula>LENB($C$14)&gt;2000</formula>
    </cfRule>
  </conditionalFormatting>
  <dataValidations xWindow="906" yWindow="429" count="3">
    <dataValidation type="custom" errorStyle="warning" operator="lessThanOrEqual" showInputMessage="1" showErrorMessage="1" errorTitle="문자 제목 허용 길이 초과" error="40byte 초과, 제목을 수정해 주시기 바랍니다." prompt="40byte 이내" sqref="C13:L13" xr:uid="{00000000-0002-0000-0000-000000000000}">
      <formula1>LENB(C13)&lt;=40</formula1>
    </dataValidation>
    <dataValidation type="custom" errorStyle="warning" allowBlank="1" showInputMessage="1" showErrorMessage="1" errorTitle="문자 내용 허용 길이 초과" error="2,000byte 초과, 내용을 수정해 주시기 바랍니다." prompt="2,000byte 이내" sqref="C14:L14" xr:uid="{00000000-0002-0000-0000-000001000000}">
      <formula1>LENB(C14)&lt;=2000</formula1>
    </dataValidation>
    <dataValidation type="list" allowBlank="1" showInputMessage="1" showErrorMessage="1" sqref="I15:L15" xr:uid="{00000000-0002-0000-0000-000002000000}">
      <formula1>"30일,60일"</formula1>
    </dataValidation>
  </dataValidations>
  <hyperlinks>
    <hyperlink ref="I7" r:id="rId1" xr:uid="{00000000-0004-0000-0000-000000000000}"/>
  </hyperlinks>
  <pageMargins left="0.7" right="0.7" top="0.75" bottom="0.75" header="0.3" footer="0.3"/>
  <pageSetup paperSize="9" scale="66" fitToHeight="0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C482"/>
  <sheetViews>
    <sheetView tabSelected="1" workbookViewId="0">
      <selection activeCell="A2" sqref="A2"/>
    </sheetView>
  </sheetViews>
  <sheetFormatPr defaultColWidth="9" defaultRowHeight="16.5"/>
  <cols>
    <col min="1" max="1" width="30.625" style="29" customWidth="1"/>
    <col min="2" max="3" width="20.625" style="29" customWidth="1"/>
    <col min="4" max="16384" width="9" style="1"/>
  </cols>
  <sheetData>
    <row r="1" spans="1:3">
      <c r="A1" s="3" t="s">
        <v>0</v>
      </c>
      <c r="B1" s="3" t="s">
        <v>5</v>
      </c>
      <c r="C1" s="3" t="s">
        <v>1</v>
      </c>
    </row>
    <row r="2" spans="1:3">
      <c r="A2" s="25"/>
      <c r="B2" s="32"/>
      <c r="C2" s="26"/>
    </row>
    <row r="3" spans="1:3">
      <c r="A3" s="25"/>
      <c r="B3" s="32"/>
      <c r="C3" s="26"/>
    </row>
    <row r="4" spans="1:3">
      <c r="A4" s="25"/>
      <c r="B4" s="32"/>
      <c r="C4" s="26"/>
    </row>
    <row r="5" spans="1:3">
      <c r="A5" s="25"/>
      <c r="B5" s="32"/>
      <c r="C5" s="26"/>
    </row>
    <row r="6" spans="1:3">
      <c r="A6" s="25"/>
      <c r="B6" s="32"/>
      <c r="C6" s="26"/>
    </row>
    <row r="7" spans="1:3">
      <c r="A7" s="25"/>
      <c r="B7" s="32"/>
      <c r="C7" s="26"/>
    </row>
    <row r="8" spans="1:3">
      <c r="A8" s="26"/>
      <c r="B8" s="27"/>
      <c r="C8" s="26"/>
    </row>
    <row r="9" spans="1:3">
      <c r="A9" s="26"/>
      <c r="B9" s="27"/>
      <c r="C9" s="26"/>
    </row>
    <row r="10" spans="1:3">
      <c r="A10" s="26"/>
      <c r="B10" s="27"/>
      <c r="C10" s="26"/>
    </row>
    <row r="11" spans="1:3">
      <c r="A11" s="26"/>
      <c r="B11" s="27"/>
      <c r="C11" s="26"/>
    </row>
    <row r="12" spans="1:3">
      <c r="A12" s="26"/>
      <c r="B12" s="27"/>
      <c r="C12" s="26"/>
    </row>
    <row r="13" spans="1:3">
      <c r="A13" s="26"/>
      <c r="B13" s="27"/>
      <c r="C13" s="26"/>
    </row>
    <row r="14" spans="1:3">
      <c r="A14" s="26"/>
      <c r="B14" s="27"/>
      <c r="C14" s="26"/>
    </row>
    <row r="15" spans="1:3">
      <c r="A15" s="26"/>
      <c r="B15" s="27"/>
      <c r="C15" s="26"/>
    </row>
    <row r="16" spans="1:3">
      <c r="A16" s="26"/>
      <c r="B16" s="27"/>
      <c r="C16" s="26"/>
    </row>
    <row r="17" spans="1:3">
      <c r="A17" s="26"/>
      <c r="B17" s="27"/>
      <c r="C17" s="26"/>
    </row>
    <row r="18" spans="1:3">
      <c r="A18" s="26"/>
      <c r="B18" s="27"/>
      <c r="C18" s="26"/>
    </row>
    <row r="19" spans="1:3">
      <c r="A19" s="26"/>
      <c r="B19" s="27"/>
      <c r="C19" s="26"/>
    </row>
    <row r="20" spans="1:3">
      <c r="A20" s="26"/>
      <c r="B20" s="27"/>
      <c r="C20" s="26"/>
    </row>
    <row r="21" spans="1:3">
      <c r="A21" s="26"/>
      <c r="B21" s="27"/>
      <c r="C21" s="26"/>
    </row>
    <row r="22" spans="1:3">
      <c r="A22" s="26"/>
      <c r="B22" s="27"/>
      <c r="C22" s="26"/>
    </row>
    <row r="23" spans="1:3">
      <c r="A23" s="26"/>
      <c r="B23" s="27"/>
      <c r="C23" s="26"/>
    </row>
    <row r="24" spans="1:3">
      <c r="A24" s="26"/>
      <c r="B24" s="27"/>
      <c r="C24" s="26"/>
    </row>
    <row r="25" spans="1:3">
      <c r="A25" s="26"/>
      <c r="B25" s="27"/>
      <c r="C25" s="26"/>
    </row>
    <row r="26" spans="1:3">
      <c r="A26" s="26"/>
      <c r="B26" s="27"/>
      <c r="C26" s="26"/>
    </row>
    <row r="27" spans="1:3">
      <c r="A27" s="26"/>
      <c r="B27" s="27"/>
      <c r="C27" s="26"/>
    </row>
    <row r="28" spans="1:3">
      <c r="A28" s="26"/>
      <c r="B28" s="27"/>
      <c r="C28" s="26"/>
    </row>
    <row r="29" spans="1:3">
      <c r="A29" s="26"/>
      <c r="B29" s="27"/>
      <c r="C29" s="26"/>
    </row>
    <row r="30" spans="1:3">
      <c r="A30" s="26"/>
      <c r="B30" s="27"/>
      <c r="C30" s="26"/>
    </row>
    <row r="31" spans="1:3">
      <c r="A31" s="26"/>
      <c r="B31" s="27"/>
      <c r="C31" s="26"/>
    </row>
    <row r="32" spans="1:3">
      <c r="A32" s="26"/>
      <c r="B32" s="27"/>
      <c r="C32" s="26"/>
    </row>
    <row r="33" spans="1:3">
      <c r="A33" s="26"/>
      <c r="B33" s="27"/>
      <c r="C33" s="26"/>
    </row>
    <row r="34" spans="1:3">
      <c r="A34" s="26"/>
      <c r="B34" s="27"/>
      <c r="C34" s="26"/>
    </row>
    <row r="35" spans="1:3">
      <c r="A35" s="26"/>
      <c r="B35" s="27"/>
      <c r="C35" s="26"/>
    </row>
    <row r="36" spans="1:3">
      <c r="A36" s="26"/>
      <c r="B36" s="27"/>
      <c r="C36" s="26"/>
    </row>
    <row r="37" spans="1:3">
      <c r="A37" s="26"/>
      <c r="B37" s="27"/>
      <c r="C37" s="26"/>
    </row>
    <row r="38" spans="1:3">
      <c r="A38" s="26"/>
      <c r="B38" s="27"/>
      <c r="C38" s="26"/>
    </row>
    <row r="39" spans="1:3">
      <c r="A39" s="26"/>
      <c r="B39" s="27"/>
      <c r="C39" s="26"/>
    </row>
    <row r="40" spans="1:3">
      <c r="A40" s="26"/>
      <c r="B40" s="27"/>
      <c r="C40" s="26"/>
    </row>
    <row r="41" spans="1:3">
      <c r="A41" s="26"/>
      <c r="B41" s="27"/>
      <c r="C41" s="26"/>
    </row>
    <row r="42" spans="1:3">
      <c r="A42" s="26"/>
      <c r="B42" s="27"/>
      <c r="C42" s="26"/>
    </row>
    <row r="43" spans="1:3">
      <c r="A43" s="26"/>
      <c r="B43" s="27"/>
      <c r="C43" s="26"/>
    </row>
    <row r="44" spans="1:3">
      <c r="A44" s="26"/>
      <c r="B44" s="27"/>
      <c r="C44" s="26"/>
    </row>
    <row r="45" spans="1:3">
      <c r="A45" s="26"/>
      <c r="B45" s="27"/>
      <c r="C45" s="26"/>
    </row>
    <row r="46" spans="1:3">
      <c r="A46" s="26"/>
      <c r="B46" s="27"/>
      <c r="C46" s="26"/>
    </row>
    <row r="47" spans="1:3">
      <c r="A47" s="26"/>
      <c r="B47" s="27"/>
      <c r="C47" s="26"/>
    </row>
    <row r="48" spans="1:3">
      <c r="A48" s="26"/>
      <c r="B48" s="27"/>
      <c r="C48" s="26"/>
    </row>
    <row r="49" spans="1:3">
      <c r="A49" s="26"/>
      <c r="B49" s="27"/>
      <c r="C49" s="26"/>
    </row>
    <row r="50" spans="1:3">
      <c r="A50" s="26"/>
      <c r="B50" s="27"/>
      <c r="C50" s="26"/>
    </row>
    <row r="51" spans="1:3">
      <c r="A51" s="26"/>
      <c r="B51" s="27"/>
      <c r="C51" s="26"/>
    </row>
    <row r="52" spans="1:3">
      <c r="A52" s="26"/>
      <c r="B52" s="27"/>
      <c r="C52" s="26"/>
    </row>
    <row r="53" spans="1:3">
      <c r="A53" s="26"/>
      <c r="B53" s="27"/>
      <c r="C53" s="26"/>
    </row>
    <row r="54" spans="1:3">
      <c r="A54" s="26"/>
      <c r="B54" s="27"/>
      <c r="C54" s="26"/>
    </row>
    <row r="55" spans="1:3">
      <c r="A55" s="26"/>
      <c r="B55" s="27"/>
      <c r="C55" s="26"/>
    </row>
    <row r="56" spans="1:3">
      <c r="A56" s="26"/>
      <c r="B56" s="27"/>
      <c r="C56" s="26"/>
    </row>
    <row r="57" spans="1:3">
      <c r="A57" s="26"/>
      <c r="B57" s="27"/>
      <c r="C57" s="26"/>
    </row>
    <row r="58" spans="1:3">
      <c r="A58" s="26"/>
      <c r="B58" s="27"/>
      <c r="C58" s="26"/>
    </row>
    <row r="59" spans="1:3">
      <c r="A59" s="26"/>
      <c r="B59" s="27"/>
      <c r="C59" s="26"/>
    </row>
    <row r="60" spans="1:3">
      <c r="A60" s="26"/>
      <c r="B60" s="27"/>
      <c r="C60" s="26"/>
    </row>
    <row r="61" spans="1:3">
      <c r="A61" s="26"/>
      <c r="B61" s="27"/>
      <c r="C61" s="26"/>
    </row>
    <row r="62" spans="1:3">
      <c r="A62" s="26"/>
      <c r="B62" s="27"/>
      <c r="C62" s="26"/>
    </row>
    <row r="63" spans="1:3">
      <c r="A63" s="26"/>
      <c r="B63" s="27"/>
      <c r="C63" s="26"/>
    </row>
    <row r="64" spans="1:3">
      <c r="A64" s="26"/>
      <c r="B64" s="27"/>
      <c r="C64" s="26"/>
    </row>
    <row r="65" spans="1:3">
      <c r="A65" s="26"/>
      <c r="B65" s="27"/>
      <c r="C65" s="26"/>
    </row>
    <row r="66" spans="1:3">
      <c r="A66" s="26"/>
      <c r="B66" s="27"/>
      <c r="C66" s="26"/>
    </row>
    <row r="67" spans="1:3">
      <c r="A67" s="26"/>
      <c r="B67" s="27"/>
      <c r="C67" s="26"/>
    </row>
    <row r="68" spans="1:3">
      <c r="A68" s="26"/>
      <c r="B68" s="27"/>
      <c r="C68" s="26"/>
    </row>
    <row r="69" spans="1:3">
      <c r="A69" s="26"/>
      <c r="B69" s="27"/>
      <c r="C69" s="26"/>
    </row>
    <row r="70" spans="1:3">
      <c r="A70" s="26"/>
      <c r="B70" s="27"/>
      <c r="C70" s="26"/>
    </row>
    <row r="71" spans="1:3">
      <c r="A71" s="26"/>
      <c r="B71" s="27"/>
      <c r="C71" s="26"/>
    </row>
    <row r="72" spans="1:3">
      <c r="A72" s="26"/>
      <c r="B72" s="27"/>
      <c r="C72" s="26"/>
    </row>
    <row r="73" spans="1:3">
      <c r="A73" s="26"/>
      <c r="B73" s="27"/>
      <c r="C73" s="26"/>
    </row>
    <row r="74" spans="1:3">
      <c r="A74" s="26"/>
      <c r="B74" s="27"/>
      <c r="C74" s="26"/>
    </row>
    <row r="75" spans="1:3">
      <c r="A75" s="26"/>
      <c r="B75" s="27"/>
      <c r="C75" s="26"/>
    </row>
    <row r="76" spans="1:3">
      <c r="A76" s="26"/>
      <c r="B76" s="27"/>
      <c r="C76" s="26"/>
    </row>
    <row r="77" spans="1:3">
      <c r="A77" s="26"/>
      <c r="B77" s="27"/>
      <c r="C77" s="26"/>
    </row>
    <row r="78" spans="1:3">
      <c r="A78" s="26"/>
      <c r="B78" s="27"/>
      <c r="C78" s="26"/>
    </row>
    <row r="79" spans="1:3">
      <c r="A79" s="26"/>
      <c r="B79" s="27"/>
      <c r="C79" s="26"/>
    </row>
    <row r="80" spans="1:3">
      <c r="A80" s="26"/>
      <c r="B80" s="27"/>
      <c r="C80" s="26"/>
    </row>
    <row r="81" spans="1:3">
      <c r="A81" s="26"/>
      <c r="B81" s="27"/>
      <c r="C81" s="26"/>
    </row>
    <row r="82" spans="1:3">
      <c r="A82" s="26"/>
      <c r="B82" s="27"/>
      <c r="C82" s="26"/>
    </row>
    <row r="83" spans="1:3">
      <c r="A83" s="26"/>
      <c r="B83" s="27"/>
      <c r="C83" s="26"/>
    </row>
    <row r="84" spans="1:3">
      <c r="A84" s="26"/>
      <c r="B84" s="27"/>
      <c r="C84" s="26"/>
    </row>
    <row r="85" spans="1:3">
      <c r="A85" s="26"/>
      <c r="B85" s="27"/>
      <c r="C85" s="26"/>
    </row>
    <row r="86" spans="1:3">
      <c r="A86" s="26"/>
      <c r="B86" s="27"/>
      <c r="C86" s="26"/>
    </row>
    <row r="87" spans="1:3">
      <c r="A87" s="26"/>
      <c r="B87" s="27"/>
      <c r="C87" s="26"/>
    </row>
    <row r="88" spans="1:3">
      <c r="A88" s="26"/>
      <c r="B88" s="27"/>
      <c r="C88" s="26"/>
    </row>
    <row r="89" spans="1:3">
      <c r="A89" s="26"/>
      <c r="B89" s="27"/>
      <c r="C89" s="26"/>
    </row>
    <row r="90" spans="1:3">
      <c r="A90" s="26"/>
      <c r="B90" s="27"/>
      <c r="C90" s="26"/>
    </row>
    <row r="91" spans="1:3">
      <c r="A91" s="26"/>
      <c r="B91" s="27"/>
      <c r="C91" s="26"/>
    </row>
    <row r="92" spans="1:3">
      <c r="A92" s="26"/>
      <c r="B92" s="27"/>
      <c r="C92" s="26"/>
    </row>
    <row r="93" spans="1:3">
      <c r="A93" s="26"/>
      <c r="B93" s="27"/>
      <c r="C93" s="26"/>
    </row>
    <row r="94" spans="1:3">
      <c r="A94" s="26"/>
      <c r="B94" s="27"/>
      <c r="C94" s="26"/>
    </row>
    <row r="95" spans="1:3">
      <c r="A95" s="26"/>
      <c r="B95" s="27"/>
      <c r="C95" s="26"/>
    </row>
    <row r="96" spans="1:3">
      <c r="A96" s="26"/>
      <c r="B96" s="27"/>
      <c r="C96" s="26"/>
    </row>
    <row r="97" spans="1:3">
      <c r="A97" s="26"/>
      <c r="B97" s="27"/>
      <c r="C97" s="26"/>
    </row>
    <row r="98" spans="1:3">
      <c r="A98" s="26"/>
      <c r="B98" s="27"/>
      <c r="C98" s="26"/>
    </row>
    <row r="99" spans="1:3">
      <c r="A99" s="26"/>
      <c r="B99" s="27"/>
      <c r="C99" s="26"/>
    </row>
    <row r="100" spans="1:3">
      <c r="A100" s="26"/>
      <c r="B100" s="27"/>
      <c r="C100" s="26"/>
    </row>
    <row r="101" spans="1:3">
      <c r="A101" s="26"/>
      <c r="B101" s="27"/>
      <c r="C101" s="26"/>
    </row>
    <row r="102" spans="1:3">
      <c r="A102" s="26"/>
      <c r="B102" s="27"/>
      <c r="C102" s="26"/>
    </row>
    <row r="103" spans="1:3">
      <c r="A103" s="26"/>
      <c r="B103" s="27"/>
      <c r="C103" s="26"/>
    </row>
    <row r="104" spans="1:3">
      <c r="A104" s="26"/>
      <c r="B104" s="27"/>
      <c r="C104" s="26"/>
    </row>
    <row r="105" spans="1:3">
      <c r="A105" s="26"/>
      <c r="B105" s="27"/>
      <c r="C105" s="26"/>
    </row>
    <row r="106" spans="1:3">
      <c r="A106" s="26"/>
      <c r="B106" s="27"/>
      <c r="C106" s="26"/>
    </row>
    <row r="107" spans="1:3">
      <c r="A107" s="26"/>
      <c r="B107" s="27"/>
      <c r="C107" s="26"/>
    </row>
    <row r="108" spans="1:3">
      <c r="A108" s="26"/>
      <c r="B108" s="27"/>
      <c r="C108" s="26"/>
    </row>
    <row r="109" spans="1:3">
      <c r="A109" s="26"/>
      <c r="B109" s="27"/>
      <c r="C109" s="26"/>
    </row>
    <row r="110" spans="1:3">
      <c r="A110" s="26"/>
      <c r="B110" s="27"/>
      <c r="C110" s="26"/>
    </row>
    <row r="111" spans="1:3">
      <c r="A111" s="26"/>
      <c r="B111" s="27"/>
      <c r="C111" s="26"/>
    </row>
    <row r="112" spans="1:3">
      <c r="A112" s="26"/>
      <c r="B112" s="27"/>
      <c r="C112" s="26"/>
    </row>
    <row r="113" spans="1:3">
      <c r="A113" s="26"/>
      <c r="B113" s="27"/>
      <c r="C113" s="26"/>
    </row>
    <row r="114" spans="1:3">
      <c r="A114" s="26"/>
      <c r="B114" s="27"/>
      <c r="C114" s="26"/>
    </row>
    <row r="115" spans="1:3">
      <c r="A115" s="26"/>
      <c r="B115" s="27"/>
      <c r="C115" s="26"/>
    </row>
    <row r="116" spans="1:3">
      <c r="A116" s="26"/>
      <c r="B116" s="27"/>
      <c r="C116" s="26"/>
    </row>
    <row r="117" spans="1:3">
      <c r="A117" s="26"/>
      <c r="B117" s="27"/>
      <c r="C117" s="26"/>
    </row>
    <row r="118" spans="1:3">
      <c r="A118" s="26"/>
      <c r="B118" s="27"/>
      <c r="C118" s="26"/>
    </row>
    <row r="119" spans="1:3">
      <c r="A119" s="26"/>
      <c r="B119" s="27"/>
      <c r="C119" s="26"/>
    </row>
    <row r="120" spans="1:3">
      <c r="A120" s="26"/>
      <c r="B120" s="27"/>
      <c r="C120" s="26"/>
    </row>
    <row r="121" spans="1:3">
      <c r="A121" s="26"/>
      <c r="B121" s="27"/>
      <c r="C121" s="26"/>
    </row>
    <row r="122" spans="1:3">
      <c r="A122" s="26"/>
      <c r="B122" s="27"/>
      <c r="C122" s="26"/>
    </row>
    <row r="123" spans="1:3">
      <c r="A123" s="26"/>
      <c r="B123" s="27"/>
      <c r="C123" s="26"/>
    </row>
    <row r="124" spans="1:3">
      <c r="A124" s="26"/>
      <c r="B124" s="27"/>
      <c r="C124" s="26"/>
    </row>
    <row r="125" spans="1:3">
      <c r="A125" s="26"/>
      <c r="B125" s="27"/>
      <c r="C125" s="26"/>
    </row>
    <row r="126" spans="1:3">
      <c r="A126" s="26"/>
      <c r="B126" s="27"/>
      <c r="C126" s="26"/>
    </row>
    <row r="127" spans="1:3">
      <c r="A127" s="26"/>
      <c r="B127" s="27"/>
      <c r="C127" s="26"/>
    </row>
    <row r="128" spans="1:3">
      <c r="A128" s="26"/>
      <c r="B128" s="27"/>
      <c r="C128" s="26"/>
    </row>
    <row r="129" spans="1:3">
      <c r="A129" s="26"/>
      <c r="B129" s="27"/>
      <c r="C129" s="26"/>
    </row>
    <row r="130" spans="1:3">
      <c r="A130" s="26"/>
      <c r="B130" s="27"/>
      <c r="C130" s="26"/>
    </row>
    <row r="131" spans="1:3">
      <c r="A131" s="26"/>
      <c r="B131" s="27"/>
      <c r="C131" s="26"/>
    </row>
    <row r="132" spans="1:3">
      <c r="A132" s="26"/>
      <c r="B132" s="27"/>
      <c r="C132" s="26"/>
    </row>
    <row r="133" spans="1:3">
      <c r="A133" s="26"/>
      <c r="B133" s="27"/>
      <c r="C133" s="26"/>
    </row>
    <row r="134" spans="1:3">
      <c r="A134" s="26"/>
      <c r="B134" s="27"/>
      <c r="C134" s="26"/>
    </row>
    <row r="135" spans="1:3">
      <c r="A135" s="26"/>
      <c r="B135" s="27"/>
      <c r="C135" s="26"/>
    </row>
    <row r="136" spans="1:3">
      <c r="A136" s="26"/>
      <c r="B136" s="27"/>
      <c r="C136" s="26"/>
    </row>
    <row r="137" spans="1:3">
      <c r="A137" s="26"/>
      <c r="B137" s="27"/>
      <c r="C137" s="26"/>
    </row>
    <row r="138" spans="1:3">
      <c r="A138" s="26"/>
      <c r="B138" s="27"/>
      <c r="C138" s="26"/>
    </row>
    <row r="139" spans="1:3">
      <c r="A139" s="26"/>
      <c r="B139" s="27"/>
      <c r="C139" s="26"/>
    </row>
    <row r="140" spans="1:3">
      <c r="A140" s="26"/>
      <c r="B140" s="27"/>
      <c r="C140" s="26"/>
    </row>
    <row r="141" spans="1:3">
      <c r="A141" s="26"/>
      <c r="B141" s="27"/>
      <c r="C141" s="26"/>
    </row>
    <row r="142" spans="1:3">
      <c r="A142" s="26"/>
      <c r="B142" s="27"/>
      <c r="C142" s="26"/>
    </row>
    <row r="143" spans="1:3">
      <c r="A143" s="26"/>
      <c r="B143" s="27"/>
      <c r="C143" s="26"/>
    </row>
    <row r="144" spans="1:3">
      <c r="A144" s="26"/>
      <c r="B144" s="27"/>
      <c r="C144" s="26"/>
    </row>
    <row r="145" spans="1:3">
      <c r="A145" s="26"/>
      <c r="B145" s="27"/>
      <c r="C145" s="26"/>
    </row>
    <row r="146" spans="1:3">
      <c r="A146" s="26"/>
      <c r="B146" s="27"/>
      <c r="C146" s="26"/>
    </row>
    <row r="147" spans="1:3">
      <c r="A147" s="26"/>
      <c r="B147" s="27"/>
      <c r="C147" s="26"/>
    </row>
    <row r="148" spans="1:3">
      <c r="A148" s="26"/>
      <c r="B148" s="27"/>
      <c r="C148" s="26"/>
    </row>
    <row r="149" spans="1:3">
      <c r="A149" s="26"/>
      <c r="B149" s="27"/>
      <c r="C149" s="26"/>
    </row>
    <row r="150" spans="1:3">
      <c r="A150" s="26"/>
      <c r="B150" s="27"/>
      <c r="C150" s="26"/>
    </row>
    <row r="151" spans="1:3">
      <c r="A151" s="26"/>
      <c r="B151" s="27"/>
      <c r="C151" s="26"/>
    </row>
    <row r="152" spans="1:3">
      <c r="A152" s="26"/>
      <c r="B152" s="27"/>
      <c r="C152" s="26"/>
    </row>
    <row r="153" spans="1:3">
      <c r="A153" s="26"/>
      <c r="B153" s="27"/>
      <c r="C153" s="26"/>
    </row>
    <row r="154" spans="1:3">
      <c r="A154" s="26"/>
      <c r="B154" s="27"/>
      <c r="C154" s="26"/>
    </row>
    <row r="155" spans="1:3">
      <c r="A155" s="26"/>
      <c r="B155" s="27"/>
      <c r="C155" s="26"/>
    </row>
    <row r="156" spans="1:3">
      <c r="A156" s="26"/>
      <c r="B156" s="27"/>
      <c r="C156" s="26"/>
    </row>
    <row r="157" spans="1:3">
      <c r="A157" s="26"/>
      <c r="B157" s="27"/>
      <c r="C157" s="26"/>
    </row>
    <row r="158" spans="1:3">
      <c r="A158" s="26"/>
      <c r="B158" s="27"/>
      <c r="C158" s="26"/>
    </row>
    <row r="159" spans="1:3">
      <c r="A159" s="26"/>
      <c r="B159" s="27"/>
      <c r="C159" s="26"/>
    </row>
    <row r="160" spans="1:3">
      <c r="A160" s="26"/>
      <c r="B160" s="27"/>
      <c r="C160" s="26"/>
    </row>
    <row r="161" spans="1:3">
      <c r="A161" s="26"/>
      <c r="B161" s="27"/>
      <c r="C161" s="26"/>
    </row>
    <row r="162" spans="1:3">
      <c r="A162" s="26"/>
      <c r="B162" s="27"/>
      <c r="C162" s="26"/>
    </row>
    <row r="163" spans="1:3">
      <c r="A163" s="26"/>
      <c r="B163" s="27"/>
      <c r="C163" s="26"/>
    </row>
    <row r="164" spans="1:3">
      <c r="A164" s="26"/>
      <c r="B164" s="27"/>
      <c r="C164" s="26"/>
    </row>
    <row r="165" spans="1:3">
      <c r="A165" s="26"/>
      <c r="B165" s="27"/>
      <c r="C165" s="26"/>
    </row>
    <row r="166" spans="1:3">
      <c r="A166" s="26"/>
      <c r="B166" s="27"/>
      <c r="C166" s="26"/>
    </row>
    <row r="167" spans="1:3">
      <c r="A167" s="26"/>
      <c r="B167" s="27"/>
      <c r="C167" s="26"/>
    </row>
    <row r="168" spans="1:3">
      <c r="A168" s="26"/>
      <c r="B168" s="27"/>
      <c r="C168" s="26"/>
    </row>
    <row r="169" spans="1:3">
      <c r="A169" s="26"/>
      <c r="B169" s="27"/>
      <c r="C169" s="26"/>
    </row>
    <row r="170" spans="1:3">
      <c r="A170" s="26"/>
      <c r="B170" s="27"/>
      <c r="C170" s="26"/>
    </row>
    <row r="171" spans="1:3">
      <c r="A171" s="26"/>
      <c r="B171" s="27"/>
      <c r="C171" s="26"/>
    </row>
    <row r="172" spans="1:3">
      <c r="A172" s="26"/>
      <c r="B172" s="27"/>
      <c r="C172" s="26"/>
    </row>
    <row r="173" spans="1:3">
      <c r="A173" s="26"/>
      <c r="B173" s="27"/>
      <c r="C173" s="26"/>
    </row>
    <row r="174" spans="1:3">
      <c r="A174" s="26"/>
      <c r="B174" s="27"/>
      <c r="C174" s="26"/>
    </row>
    <row r="175" spans="1:3">
      <c r="A175" s="26"/>
      <c r="B175" s="27"/>
      <c r="C175" s="26"/>
    </row>
    <row r="176" spans="1:3">
      <c r="A176" s="26"/>
      <c r="B176" s="27"/>
      <c r="C176" s="26"/>
    </row>
    <row r="177" spans="1:3">
      <c r="A177" s="26"/>
      <c r="B177" s="27"/>
      <c r="C177" s="26"/>
    </row>
    <row r="178" spans="1:3">
      <c r="A178" s="26"/>
      <c r="B178" s="27"/>
      <c r="C178" s="26"/>
    </row>
    <row r="179" spans="1:3">
      <c r="A179" s="26"/>
      <c r="B179" s="27"/>
      <c r="C179" s="26"/>
    </row>
    <row r="180" spans="1:3">
      <c r="A180" s="26"/>
      <c r="B180" s="27"/>
      <c r="C180" s="26"/>
    </row>
    <row r="181" spans="1:3">
      <c r="A181" s="26"/>
      <c r="B181" s="27"/>
      <c r="C181" s="26"/>
    </row>
    <row r="182" spans="1:3">
      <c r="A182" s="26"/>
      <c r="B182" s="27"/>
      <c r="C182" s="26"/>
    </row>
    <row r="183" spans="1:3">
      <c r="A183" s="26"/>
      <c r="B183" s="27"/>
      <c r="C183" s="26"/>
    </row>
    <row r="184" spans="1:3">
      <c r="A184" s="26"/>
      <c r="B184" s="27"/>
      <c r="C184" s="26"/>
    </row>
    <row r="185" spans="1:3">
      <c r="A185" s="26"/>
      <c r="B185" s="27"/>
      <c r="C185" s="26"/>
    </row>
    <row r="186" spans="1:3">
      <c r="A186" s="26"/>
      <c r="B186" s="27"/>
      <c r="C186" s="26"/>
    </row>
    <row r="187" spans="1:3">
      <c r="A187" s="26"/>
      <c r="B187" s="27"/>
      <c r="C187" s="26"/>
    </row>
    <row r="188" spans="1:3">
      <c r="A188" s="26"/>
      <c r="B188" s="27"/>
      <c r="C188" s="26"/>
    </row>
    <row r="189" spans="1:3">
      <c r="A189" s="26"/>
      <c r="B189" s="27"/>
      <c r="C189" s="26"/>
    </row>
    <row r="190" spans="1:3">
      <c r="A190" s="26"/>
      <c r="B190" s="27"/>
      <c r="C190" s="26"/>
    </row>
    <row r="191" spans="1:3">
      <c r="A191" s="26"/>
      <c r="B191" s="27"/>
      <c r="C191" s="26"/>
    </row>
    <row r="192" spans="1:3">
      <c r="A192" s="26"/>
      <c r="B192" s="27"/>
      <c r="C192" s="26"/>
    </row>
    <row r="193" spans="1:3">
      <c r="A193" s="26"/>
      <c r="B193" s="27"/>
      <c r="C193" s="26"/>
    </row>
    <row r="194" spans="1:3">
      <c r="A194" s="26"/>
      <c r="B194" s="27"/>
      <c r="C194" s="26"/>
    </row>
    <row r="195" spans="1:3">
      <c r="A195" s="26"/>
      <c r="B195" s="27"/>
      <c r="C195" s="26"/>
    </row>
    <row r="196" spans="1:3">
      <c r="A196" s="26"/>
      <c r="B196" s="27"/>
      <c r="C196" s="26"/>
    </row>
    <row r="197" spans="1:3">
      <c r="A197" s="26"/>
      <c r="B197" s="27"/>
      <c r="C197" s="26"/>
    </row>
    <row r="198" spans="1:3">
      <c r="A198" s="26"/>
      <c r="B198" s="27"/>
      <c r="C198" s="26"/>
    </row>
    <row r="199" spans="1:3">
      <c r="A199" s="26"/>
      <c r="B199" s="27"/>
      <c r="C199" s="26"/>
    </row>
    <row r="200" spans="1:3">
      <c r="A200" s="26"/>
      <c r="B200" s="27"/>
      <c r="C200" s="26"/>
    </row>
    <row r="201" spans="1:3">
      <c r="A201" s="26"/>
      <c r="B201" s="27"/>
      <c r="C201" s="26"/>
    </row>
    <row r="202" spans="1:3">
      <c r="A202" s="26"/>
      <c r="B202" s="27"/>
      <c r="C202" s="26"/>
    </row>
    <row r="203" spans="1:3">
      <c r="A203" s="26"/>
      <c r="B203" s="27"/>
      <c r="C203" s="26"/>
    </row>
    <row r="204" spans="1:3">
      <c r="A204" s="26"/>
      <c r="B204" s="27"/>
      <c r="C204" s="26"/>
    </row>
    <row r="205" spans="1:3">
      <c r="A205" s="26"/>
      <c r="B205" s="27"/>
      <c r="C205" s="26"/>
    </row>
    <row r="206" spans="1:3">
      <c r="A206" s="26"/>
      <c r="B206" s="27"/>
      <c r="C206" s="26"/>
    </row>
    <row r="207" spans="1:3">
      <c r="A207" s="26"/>
      <c r="B207" s="27"/>
      <c r="C207" s="26"/>
    </row>
    <row r="208" spans="1:3">
      <c r="A208" s="26"/>
      <c r="B208" s="27"/>
      <c r="C208" s="26"/>
    </row>
    <row r="209" spans="1:3">
      <c r="A209" s="26"/>
      <c r="B209" s="27"/>
      <c r="C209" s="26"/>
    </row>
    <row r="210" spans="1:3">
      <c r="A210" s="26"/>
      <c r="B210" s="27"/>
      <c r="C210" s="26"/>
    </row>
    <row r="211" spans="1:3">
      <c r="A211" s="26"/>
      <c r="B211" s="27"/>
      <c r="C211" s="26"/>
    </row>
    <row r="212" spans="1:3">
      <c r="A212" s="26"/>
      <c r="B212" s="27"/>
      <c r="C212" s="26"/>
    </row>
    <row r="213" spans="1:3">
      <c r="A213" s="26"/>
      <c r="B213" s="27"/>
      <c r="C213" s="26"/>
    </row>
    <row r="214" spans="1:3">
      <c r="A214" s="26"/>
      <c r="B214" s="27"/>
      <c r="C214" s="26"/>
    </row>
    <row r="215" spans="1:3">
      <c r="A215" s="26"/>
      <c r="B215" s="27"/>
      <c r="C215" s="26"/>
    </row>
    <row r="216" spans="1:3">
      <c r="A216" s="26"/>
      <c r="B216" s="27"/>
      <c r="C216" s="26"/>
    </row>
    <row r="217" spans="1:3">
      <c r="A217" s="26"/>
      <c r="B217" s="27"/>
      <c r="C217" s="26"/>
    </row>
    <row r="218" spans="1:3">
      <c r="A218" s="26"/>
      <c r="B218" s="27"/>
      <c r="C218" s="26"/>
    </row>
    <row r="219" spans="1:3">
      <c r="A219" s="26"/>
      <c r="B219" s="27"/>
      <c r="C219" s="26"/>
    </row>
    <row r="220" spans="1:3">
      <c r="A220" s="26"/>
      <c r="B220" s="27"/>
      <c r="C220" s="26"/>
    </row>
    <row r="221" spans="1:3">
      <c r="A221" s="26"/>
      <c r="B221" s="27"/>
      <c r="C221" s="26"/>
    </row>
    <row r="222" spans="1:3">
      <c r="A222" s="26"/>
      <c r="B222" s="27"/>
      <c r="C222" s="26"/>
    </row>
    <row r="223" spans="1:3">
      <c r="A223" s="26"/>
      <c r="B223" s="27"/>
      <c r="C223" s="26"/>
    </row>
    <row r="224" spans="1:3">
      <c r="A224" s="26"/>
      <c r="B224" s="27"/>
      <c r="C224" s="26"/>
    </row>
    <row r="225" spans="1:3">
      <c r="A225" s="26"/>
      <c r="B225" s="27"/>
      <c r="C225" s="26"/>
    </row>
    <row r="226" spans="1:3">
      <c r="A226" s="26"/>
      <c r="B226" s="27"/>
      <c r="C226" s="26"/>
    </row>
    <row r="227" spans="1:3">
      <c r="A227" s="26"/>
      <c r="B227" s="27"/>
      <c r="C227" s="26"/>
    </row>
    <row r="228" spans="1:3">
      <c r="A228" s="26"/>
      <c r="B228" s="27"/>
      <c r="C228" s="26"/>
    </row>
    <row r="229" spans="1:3">
      <c r="A229" s="26"/>
      <c r="B229" s="27"/>
      <c r="C229" s="26"/>
    </row>
    <row r="230" spans="1:3">
      <c r="A230" s="26"/>
      <c r="B230" s="27"/>
      <c r="C230" s="26"/>
    </row>
    <row r="231" spans="1:3">
      <c r="A231" s="26"/>
      <c r="B231" s="27"/>
      <c r="C231" s="26"/>
    </row>
    <row r="232" spans="1:3">
      <c r="A232" s="26"/>
      <c r="B232" s="27"/>
      <c r="C232" s="26"/>
    </row>
    <row r="233" spans="1:3">
      <c r="A233" s="26"/>
      <c r="B233" s="27"/>
      <c r="C233" s="26"/>
    </row>
    <row r="234" spans="1:3">
      <c r="A234" s="26"/>
      <c r="B234" s="27"/>
      <c r="C234" s="26"/>
    </row>
    <row r="235" spans="1:3">
      <c r="A235" s="26"/>
      <c r="B235" s="27"/>
      <c r="C235" s="26"/>
    </row>
    <row r="236" spans="1:3">
      <c r="A236" s="26"/>
      <c r="B236" s="27"/>
      <c r="C236" s="26"/>
    </row>
    <row r="237" spans="1:3">
      <c r="A237" s="26"/>
      <c r="B237" s="27"/>
      <c r="C237" s="26"/>
    </row>
    <row r="238" spans="1:3">
      <c r="A238" s="26"/>
      <c r="B238" s="27"/>
      <c r="C238" s="26"/>
    </row>
    <row r="239" spans="1:3">
      <c r="A239" s="26"/>
      <c r="B239" s="27"/>
      <c r="C239" s="26"/>
    </row>
    <row r="240" spans="1:3">
      <c r="A240" s="26"/>
      <c r="B240" s="27"/>
      <c r="C240" s="26"/>
    </row>
    <row r="241" spans="1:3">
      <c r="A241" s="26"/>
      <c r="B241" s="27"/>
      <c r="C241" s="26"/>
    </row>
    <row r="242" spans="1:3">
      <c r="A242" s="26"/>
      <c r="B242" s="27"/>
      <c r="C242" s="26"/>
    </row>
    <row r="243" spans="1:3">
      <c r="A243" s="26"/>
      <c r="B243" s="27"/>
      <c r="C243" s="26"/>
    </row>
    <row r="244" spans="1:3">
      <c r="A244" s="26"/>
      <c r="B244" s="27"/>
      <c r="C244" s="26"/>
    </row>
    <row r="245" spans="1:3">
      <c r="A245" s="26"/>
      <c r="B245" s="27"/>
      <c r="C245" s="26"/>
    </row>
    <row r="246" spans="1:3">
      <c r="A246" s="26"/>
      <c r="B246" s="27"/>
      <c r="C246" s="26"/>
    </row>
    <row r="247" spans="1:3">
      <c r="A247" s="26"/>
      <c r="B247" s="27"/>
      <c r="C247" s="26"/>
    </row>
    <row r="248" spans="1:3">
      <c r="A248" s="26"/>
      <c r="B248" s="27"/>
      <c r="C248" s="26"/>
    </row>
    <row r="249" spans="1:3">
      <c r="A249" s="26"/>
      <c r="B249" s="27"/>
      <c r="C249" s="26"/>
    </row>
    <row r="250" spans="1:3">
      <c r="A250" s="26"/>
      <c r="B250" s="27"/>
      <c r="C250" s="26"/>
    </row>
    <row r="251" spans="1:3">
      <c r="A251" s="26"/>
      <c r="B251" s="27"/>
      <c r="C251" s="26"/>
    </row>
    <row r="252" spans="1:3">
      <c r="A252" s="26"/>
      <c r="B252" s="27"/>
      <c r="C252" s="26"/>
    </row>
    <row r="253" spans="1:3">
      <c r="A253" s="26"/>
      <c r="B253" s="27"/>
      <c r="C253" s="26"/>
    </row>
    <row r="254" spans="1:3">
      <c r="A254" s="26"/>
      <c r="B254" s="27"/>
      <c r="C254" s="26"/>
    </row>
    <row r="255" spans="1:3">
      <c r="A255" s="26"/>
      <c r="B255" s="27"/>
      <c r="C255" s="26"/>
    </row>
    <row r="256" spans="1:3">
      <c r="A256" s="26"/>
      <c r="B256" s="27"/>
      <c r="C256" s="26"/>
    </row>
    <row r="257" spans="1:3">
      <c r="A257" s="26"/>
      <c r="B257" s="27"/>
      <c r="C257" s="26"/>
    </row>
    <row r="258" spans="1:3">
      <c r="A258" s="26"/>
      <c r="B258" s="27"/>
      <c r="C258" s="26"/>
    </row>
    <row r="259" spans="1:3">
      <c r="A259" s="26"/>
      <c r="B259" s="27"/>
      <c r="C259" s="26"/>
    </row>
    <row r="260" spans="1:3">
      <c r="A260" s="26"/>
      <c r="B260" s="27"/>
      <c r="C260" s="26"/>
    </row>
    <row r="261" spans="1:3">
      <c r="A261" s="26"/>
      <c r="B261" s="27"/>
      <c r="C261" s="26"/>
    </row>
    <row r="262" spans="1:3">
      <c r="A262" s="26"/>
      <c r="B262" s="27"/>
      <c r="C262" s="26"/>
    </row>
    <row r="263" spans="1:3">
      <c r="A263" s="26"/>
      <c r="B263" s="27"/>
      <c r="C263" s="26"/>
    </row>
    <row r="264" spans="1:3">
      <c r="A264" s="26"/>
      <c r="B264" s="27"/>
      <c r="C264" s="26"/>
    </row>
    <row r="265" spans="1:3">
      <c r="A265" s="26"/>
      <c r="B265" s="27"/>
      <c r="C265" s="26"/>
    </row>
    <row r="266" spans="1:3">
      <c r="A266" s="26"/>
      <c r="B266" s="27"/>
      <c r="C266" s="26"/>
    </row>
    <row r="267" spans="1:3">
      <c r="A267" s="26"/>
      <c r="B267" s="27"/>
      <c r="C267" s="26"/>
    </row>
    <row r="268" spans="1:3">
      <c r="A268" s="26"/>
      <c r="B268" s="27"/>
      <c r="C268" s="26"/>
    </row>
    <row r="269" spans="1:3">
      <c r="A269" s="26"/>
      <c r="B269" s="27"/>
      <c r="C269" s="26"/>
    </row>
    <row r="270" spans="1:3">
      <c r="A270" s="26"/>
      <c r="B270" s="27"/>
      <c r="C270" s="26"/>
    </row>
    <row r="271" spans="1:3">
      <c r="A271" s="26"/>
      <c r="B271" s="27"/>
      <c r="C271" s="26"/>
    </row>
    <row r="272" spans="1:3">
      <c r="A272" s="26"/>
      <c r="B272" s="27"/>
      <c r="C272" s="26"/>
    </row>
    <row r="273" spans="1:3">
      <c r="A273" s="26"/>
      <c r="B273" s="27"/>
      <c r="C273" s="26"/>
    </row>
    <row r="274" spans="1:3">
      <c r="A274" s="26"/>
      <c r="B274" s="27"/>
      <c r="C274" s="26"/>
    </row>
    <row r="275" spans="1:3">
      <c r="A275" s="26"/>
      <c r="B275" s="27"/>
      <c r="C275" s="26"/>
    </row>
    <row r="276" spans="1:3">
      <c r="A276" s="26"/>
      <c r="B276" s="27"/>
      <c r="C276" s="26"/>
    </row>
    <row r="277" spans="1:3">
      <c r="A277" s="26"/>
      <c r="B277" s="27"/>
      <c r="C277" s="26"/>
    </row>
    <row r="278" spans="1:3">
      <c r="A278" s="26"/>
      <c r="B278" s="27"/>
      <c r="C278" s="26"/>
    </row>
    <row r="279" spans="1:3">
      <c r="A279" s="26"/>
      <c r="B279" s="27"/>
      <c r="C279" s="26"/>
    </row>
    <row r="280" spans="1:3">
      <c r="A280" s="26"/>
      <c r="B280" s="27"/>
      <c r="C280" s="26"/>
    </row>
    <row r="281" spans="1:3">
      <c r="A281" s="28"/>
      <c r="B281" s="27"/>
      <c r="C281" s="26"/>
    </row>
    <row r="282" spans="1:3">
      <c r="A282" s="28"/>
      <c r="B282" s="27"/>
      <c r="C282" s="28"/>
    </row>
    <row r="283" spans="1:3">
      <c r="A283" s="28"/>
      <c r="B283" s="27"/>
      <c r="C283" s="28"/>
    </row>
    <row r="284" spans="1:3">
      <c r="A284" s="28"/>
      <c r="B284" s="27"/>
      <c r="C284" s="28"/>
    </row>
    <row r="285" spans="1:3">
      <c r="A285" s="28"/>
      <c r="B285" s="27"/>
      <c r="C285" s="28"/>
    </row>
    <row r="286" spans="1:3">
      <c r="A286" s="28"/>
      <c r="B286" s="27"/>
      <c r="C286" s="28"/>
    </row>
    <row r="287" spans="1:3">
      <c r="A287" s="28"/>
      <c r="B287" s="27"/>
      <c r="C287" s="28"/>
    </row>
    <row r="288" spans="1:3">
      <c r="A288" s="28"/>
      <c r="B288" s="27"/>
      <c r="C288" s="28"/>
    </row>
    <row r="289" spans="1:3">
      <c r="A289" s="28"/>
      <c r="B289" s="27"/>
      <c r="C289" s="28"/>
    </row>
    <row r="290" spans="1:3">
      <c r="A290" s="28"/>
      <c r="B290" s="27"/>
      <c r="C290" s="28"/>
    </row>
    <row r="291" spans="1:3">
      <c r="A291" s="28"/>
      <c r="B291" s="27"/>
      <c r="C291" s="28"/>
    </row>
    <row r="292" spans="1:3">
      <c r="A292" s="28"/>
      <c r="B292" s="27"/>
      <c r="C292" s="28"/>
    </row>
    <row r="293" spans="1:3">
      <c r="A293" s="28"/>
      <c r="B293" s="27"/>
      <c r="C293" s="28"/>
    </row>
    <row r="294" spans="1:3">
      <c r="A294" s="28"/>
      <c r="B294" s="27"/>
      <c r="C294" s="28"/>
    </row>
    <row r="295" spans="1:3">
      <c r="A295" s="28"/>
      <c r="B295" s="27"/>
      <c r="C295" s="28"/>
    </row>
    <row r="296" spans="1:3">
      <c r="A296" s="28"/>
      <c r="B296" s="27"/>
      <c r="C296" s="28"/>
    </row>
    <row r="297" spans="1:3">
      <c r="A297" s="28"/>
      <c r="B297" s="27"/>
      <c r="C297" s="28"/>
    </row>
    <row r="298" spans="1:3">
      <c r="A298" s="28"/>
      <c r="B298" s="27"/>
      <c r="C298" s="28"/>
    </row>
    <row r="299" spans="1:3">
      <c r="A299" s="28"/>
      <c r="B299" s="27"/>
      <c r="C299" s="28"/>
    </row>
    <row r="300" spans="1:3">
      <c r="A300" s="28"/>
      <c r="B300" s="27"/>
      <c r="C300" s="28"/>
    </row>
    <row r="301" spans="1:3">
      <c r="A301" s="28"/>
      <c r="B301" s="27"/>
      <c r="C301" s="28"/>
    </row>
    <row r="302" spans="1:3">
      <c r="A302" s="28"/>
      <c r="B302" s="27"/>
      <c r="C302" s="28"/>
    </row>
    <row r="303" spans="1:3">
      <c r="A303" s="28"/>
      <c r="B303" s="27"/>
      <c r="C303" s="28"/>
    </row>
    <row r="304" spans="1:3">
      <c r="A304" s="28"/>
      <c r="B304" s="27"/>
      <c r="C304" s="28"/>
    </row>
    <row r="305" spans="1:3">
      <c r="A305" s="28"/>
      <c r="B305" s="27"/>
      <c r="C305" s="28"/>
    </row>
    <row r="306" spans="1:3">
      <c r="A306" s="28"/>
      <c r="B306" s="27"/>
      <c r="C306" s="28"/>
    </row>
    <row r="307" spans="1:3">
      <c r="A307" s="28"/>
      <c r="B307" s="27"/>
      <c r="C307" s="28"/>
    </row>
    <row r="308" spans="1:3">
      <c r="A308" s="28"/>
      <c r="B308" s="27"/>
      <c r="C308" s="28"/>
    </row>
    <row r="309" spans="1:3">
      <c r="A309" s="28"/>
      <c r="B309" s="27"/>
      <c r="C309" s="28"/>
    </row>
    <row r="310" spans="1:3">
      <c r="A310" s="28"/>
      <c r="B310" s="27"/>
      <c r="C310" s="28"/>
    </row>
    <row r="311" spans="1:3">
      <c r="A311" s="28"/>
      <c r="B311" s="27"/>
      <c r="C311" s="28"/>
    </row>
    <row r="312" spans="1:3">
      <c r="A312" s="28"/>
      <c r="B312" s="27"/>
      <c r="C312" s="28"/>
    </row>
    <row r="313" spans="1:3">
      <c r="A313" s="28"/>
      <c r="B313" s="27"/>
      <c r="C313" s="28"/>
    </row>
    <row r="314" spans="1:3">
      <c r="A314" s="28"/>
      <c r="B314" s="27"/>
      <c r="C314" s="28"/>
    </row>
    <row r="315" spans="1:3">
      <c r="A315" s="28"/>
      <c r="B315" s="27"/>
      <c r="C315" s="28"/>
    </row>
    <row r="316" spans="1:3">
      <c r="A316" s="28"/>
      <c r="B316" s="27"/>
      <c r="C316" s="28"/>
    </row>
    <row r="317" spans="1:3">
      <c r="A317" s="28"/>
      <c r="B317" s="27"/>
      <c r="C317" s="28"/>
    </row>
    <row r="318" spans="1:3">
      <c r="A318" s="28"/>
      <c r="B318" s="27"/>
      <c r="C318" s="28"/>
    </row>
    <row r="319" spans="1:3">
      <c r="A319" s="28"/>
      <c r="B319" s="27"/>
      <c r="C319" s="28"/>
    </row>
    <row r="320" spans="1:3">
      <c r="A320" s="28"/>
      <c r="B320" s="27"/>
      <c r="C320" s="28"/>
    </row>
    <row r="321" spans="1:3">
      <c r="A321" s="28"/>
      <c r="B321" s="27"/>
      <c r="C321" s="28"/>
    </row>
    <row r="322" spans="1:3">
      <c r="A322" s="28"/>
      <c r="B322" s="27"/>
      <c r="C322" s="28"/>
    </row>
    <row r="323" spans="1:3">
      <c r="A323" s="28"/>
      <c r="B323" s="27"/>
      <c r="C323" s="28"/>
    </row>
    <row r="324" spans="1:3">
      <c r="A324" s="28"/>
      <c r="B324" s="27"/>
      <c r="C324" s="28"/>
    </row>
    <row r="325" spans="1:3">
      <c r="A325" s="28"/>
      <c r="B325" s="27"/>
      <c r="C325" s="28"/>
    </row>
    <row r="326" spans="1:3">
      <c r="A326" s="28"/>
      <c r="B326" s="27"/>
      <c r="C326" s="28"/>
    </row>
    <row r="327" spans="1:3">
      <c r="A327" s="28"/>
      <c r="B327" s="27"/>
      <c r="C327" s="28"/>
    </row>
    <row r="328" spans="1:3">
      <c r="A328" s="28"/>
      <c r="B328" s="27"/>
      <c r="C328" s="28"/>
    </row>
    <row r="329" spans="1:3">
      <c r="A329" s="28"/>
      <c r="B329" s="27"/>
      <c r="C329" s="28"/>
    </row>
    <row r="330" spans="1:3">
      <c r="A330" s="28"/>
      <c r="B330" s="27"/>
      <c r="C330" s="28"/>
    </row>
    <row r="331" spans="1:3">
      <c r="A331" s="28"/>
      <c r="B331" s="27"/>
      <c r="C331" s="28"/>
    </row>
    <row r="332" spans="1:3">
      <c r="A332" s="28"/>
      <c r="B332" s="27"/>
      <c r="C332" s="28"/>
    </row>
    <row r="333" spans="1:3">
      <c r="A333" s="28"/>
      <c r="B333" s="27"/>
      <c r="C333" s="28"/>
    </row>
    <row r="334" spans="1:3">
      <c r="A334" s="28"/>
      <c r="B334" s="27"/>
      <c r="C334" s="28"/>
    </row>
    <row r="335" spans="1:3">
      <c r="A335" s="28"/>
      <c r="B335" s="27"/>
      <c r="C335" s="28"/>
    </row>
    <row r="336" spans="1:3">
      <c r="A336" s="28"/>
      <c r="B336" s="27"/>
      <c r="C336" s="28"/>
    </row>
    <row r="337" spans="1:3">
      <c r="A337" s="28"/>
      <c r="B337" s="27"/>
      <c r="C337" s="28"/>
    </row>
    <row r="338" spans="1:3">
      <c r="A338" s="28"/>
      <c r="B338" s="27"/>
      <c r="C338" s="28"/>
    </row>
    <row r="339" spans="1:3">
      <c r="A339" s="28"/>
      <c r="B339" s="27"/>
      <c r="C339" s="28"/>
    </row>
    <row r="340" spans="1:3">
      <c r="A340" s="28"/>
      <c r="B340" s="27"/>
      <c r="C340" s="28"/>
    </row>
    <row r="341" spans="1:3">
      <c r="A341" s="28"/>
      <c r="B341" s="27"/>
      <c r="C341" s="28"/>
    </row>
    <row r="342" spans="1:3">
      <c r="A342" s="28"/>
      <c r="B342" s="27"/>
      <c r="C342" s="28"/>
    </row>
    <row r="343" spans="1:3">
      <c r="A343" s="28"/>
      <c r="B343" s="27"/>
      <c r="C343" s="28"/>
    </row>
    <row r="344" spans="1:3">
      <c r="A344" s="28"/>
      <c r="B344" s="27"/>
      <c r="C344" s="28"/>
    </row>
    <row r="345" spans="1:3">
      <c r="A345" s="28"/>
      <c r="B345" s="27"/>
      <c r="C345" s="28"/>
    </row>
    <row r="346" spans="1:3">
      <c r="A346" s="28"/>
      <c r="B346" s="27"/>
      <c r="C346" s="28"/>
    </row>
    <row r="347" spans="1:3">
      <c r="A347" s="28"/>
      <c r="B347" s="27"/>
      <c r="C347" s="28"/>
    </row>
    <row r="348" spans="1:3">
      <c r="A348" s="28"/>
      <c r="B348" s="27"/>
      <c r="C348" s="28"/>
    </row>
    <row r="349" spans="1:3">
      <c r="A349" s="28"/>
      <c r="B349" s="27"/>
      <c r="C349" s="28"/>
    </row>
    <row r="350" spans="1:3">
      <c r="A350" s="28"/>
      <c r="B350" s="27"/>
      <c r="C350" s="28"/>
    </row>
    <row r="351" spans="1:3">
      <c r="A351" s="28"/>
      <c r="B351" s="27"/>
      <c r="C351" s="28"/>
    </row>
    <row r="352" spans="1:3">
      <c r="A352" s="28"/>
      <c r="B352" s="27"/>
      <c r="C352" s="28"/>
    </row>
    <row r="353" spans="1:3">
      <c r="A353" s="28"/>
      <c r="B353" s="27"/>
      <c r="C353" s="28"/>
    </row>
    <row r="354" spans="1:3">
      <c r="A354" s="28"/>
      <c r="B354" s="27"/>
      <c r="C354" s="28"/>
    </row>
    <row r="355" spans="1:3">
      <c r="A355" s="28"/>
      <c r="B355" s="27"/>
      <c r="C355" s="28"/>
    </row>
    <row r="356" spans="1:3">
      <c r="A356" s="28"/>
      <c r="B356" s="27"/>
      <c r="C356" s="28"/>
    </row>
    <row r="357" spans="1:3">
      <c r="A357" s="28"/>
      <c r="B357" s="27"/>
      <c r="C357" s="28"/>
    </row>
    <row r="358" spans="1:3">
      <c r="A358" s="28"/>
      <c r="B358" s="27"/>
      <c r="C358" s="28"/>
    </row>
    <row r="359" spans="1:3">
      <c r="A359" s="28"/>
      <c r="B359" s="27"/>
      <c r="C359" s="28"/>
    </row>
    <row r="360" spans="1:3">
      <c r="A360" s="28"/>
      <c r="B360" s="27"/>
      <c r="C360" s="28"/>
    </row>
    <row r="361" spans="1:3">
      <c r="A361" s="28"/>
      <c r="B361" s="27"/>
      <c r="C361" s="28"/>
    </row>
    <row r="362" spans="1:3">
      <c r="A362" s="28"/>
      <c r="B362" s="27"/>
      <c r="C362" s="28"/>
    </row>
    <row r="363" spans="1:3">
      <c r="A363" s="28"/>
      <c r="B363" s="27"/>
      <c r="C363" s="28"/>
    </row>
    <row r="364" spans="1:3">
      <c r="A364" s="28"/>
      <c r="B364" s="27"/>
      <c r="C364" s="28"/>
    </row>
    <row r="365" spans="1:3">
      <c r="A365" s="28"/>
      <c r="B365" s="27"/>
      <c r="C365" s="28"/>
    </row>
    <row r="366" spans="1:3">
      <c r="A366" s="28"/>
      <c r="B366" s="27"/>
      <c r="C366" s="28"/>
    </row>
    <row r="367" spans="1:3">
      <c r="A367" s="28"/>
      <c r="B367" s="27"/>
      <c r="C367" s="28"/>
    </row>
    <row r="368" spans="1:3">
      <c r="A368" s="28"/>
      <c r="B368" s="27"/>
      <c r="C368" s="28"/>
    </row>
    <row r="369" spans="1:3">
      <c r="A369" s="28"/>
      <c r="B369" s="27"/>
      <c r="C369" s="28"/>
    </row>
    <row r="370" spans="1:3">
      <c r="A370" s="28"/>
      <c r="B370" s="27"/>
      <c r="C370" s="28"/>
    </row>
    <row r="371" spans="1:3">
      <c r="A371" s="28"/>
      <c r="B371" s="27"/>
      <c r="C371" s="28"/>
    </row>
    <row r="372" spans="1:3">
      <c r="A372" s="28"/>
      <c r="B372" s="27"/>
      <c r="C372" s="28"/>
    </row>
    <row r="373" spans="1:3">
      <c r="A373" s="28"/>
      <c r="B373" s="27"/>
      <c r="C373" s="28"/>
    </row>
    <row r="374" spans="1:3">
      <c r="A374" s="28"/>
      <c r="B374" s="27"/>
      <c r="C374" s="28"/>
    </row>
    <row r="375" spans="1:3">
      <c r="A375" s="28"/>
      <c r="B375" s="27"/>
      <c r="C375" s="28"/>
    </row>
    <row r="376" spans="1:3">
      <c r="A376" s="28"/>
      <c r="B376" s="27"/>
      <c r="C376" s="28"/>
    </row>
    <row r="377" spans="1:3">
      <c r="A377" s="28"/>
      <c r="B377" s="27"/>
      <c r="C377" s="28"/>
    </row>
    <row r="378" spans="1:3">
      <c r="A378" s="28"/>
      <c r="B378" s="27"/>
      <c r="C378" s="28"/>
    </row>
    <row r="379" spans="1:3">
      <c r="A379" s="28"/>
      <c r="B379" s="27"/>
      <c r="C379" s="28"/>
    </row>
    <row r="380" spans="1:3">
      <c r="A380" s="28"/>
      <c r="B380" s="27"/>
      <c r="C380" s="28"/>
    </row>
    <row r="381" spans="1:3">
      <c r="A381" s="28"/>
      <c r="B381" s="27"/>
      <c r="C381" s="28"/>
    </row>
    <row r="382" spans="1:3">
      <c r="A382" s="28"/>
      <c r="B382" s="27"/>
      <c r="C382" s="28"/>
    </row>
    <row r="383" spans="1:3">
      <c r="A383" s="28"/>
      <c r="B383" s="27"/>
      <c r="C383" s="28"/>
    </row>
    <row r="384" spans="1:3">
      <c r="A384" s="28"/>
      <c r="B384" s="27"/>
      <c r="C384" s="28"/>
    </row>
    <row r="385" spans="1:3">
      <c r="A385" s="28"/>
      <c r="B385" s="27"/>
      <c r="C385" s="28"/>
    </row>
    <row r="386" spans="1:3">
      <c r="A386" s="28"/>
      <c r="B386" s="27"/>
      <c r="C386" s="28"/>
    </row>
    <row r="387" spans="1:3">
      <c r="A387" s="28"/>
      <c r="B387" s="27"/>
      <c r="C387" s="28"/>
    </row>
    <row r="388" spans="1:3">
      <c r="A388" s="28"/>
      <c r="B388" s="27"/>
      <c r="C388" s="28"/>
    </row>
    <row r="389" spans="1:3">
      <c r="A389" s="28"/>
      <c r="B389" s="27"/>
      <c r="C389" s="28"/>
    </row>
    <row r="390" spans="1:3">
      <c r="A390" s="28"/>
      <c r="B390" s="27"/>
      <c r="C390" s="28"/>
    </row>
    <row r="391" spans="1:3">
      <c r="A391" s="28"/>
      <c r="B391" s="27"/>
      <c r="C391" s="28"/>
    </row>
    <row r="392" spans="1:3">
      <c r="A392" s="28"/>
      <c r="B392" s="27"/>
      <c r="C392" s="28"/>
    </row>
    <row r="393" spans="1:3">
      <c r="A393" s="28"/>
      <c r="B393" s="27"/>
      <c r="C393" s="28"/>
    </row>
    <row r="394" spans="1:3">
      <c r="A394" s="28"/>
      <c r="B394" s="27"/>
      <c r="C394" s="28"/>
    </row>
    <row r="395" spans="1:3">
      <c r="A395" s="28"/>
      <c r="B395" s="27"/>
      <c r="C395" s="28"/>
    </row>
    <row r="396" spans="1:3">
      <c r="A396" s="28"/>
      <c r="B396" s="27"/>
      <c r="C396" s="28"/>
    </row>
    <row r="397" spans="1:3">
      <c r="A397" s="28"/>
      <c r="B397" s="27"/>
      <c r="C397" s="28"/>
    </row>
    <row r="398" spans="1:3">
      <c r="A398" s="28"/>
      <c r="B398" s="27"/>
      <c r="C398" s="28"/>
    </row>
    <row r="399" spans="1:3">
      <c r="A399" s="28"/>
      <c r="B399" s="27"/>
      <c r="C399" s="28"/>
    </row>
    <row r="400" spans="1:3">
      <c r="A400" s="28"/>
      <c r="B400" s="27"/>
      <c r="C400" s="28"/>
    </row>
    <row r="401" spans="1:3">
      <c r="A401" s="28"/>
      <c r="B401" s="27"/>
      <c r="C401" s="28"/>
    </row>
    <row r="402" spans="1:3">
      <c r="A402" s="28"/>
      <c r="B402" s="27"/>
      <c r="C402" s="28"/>
    </row>
    <row r="403" spans="1:3">
      <c r="A403" s="28"/>
      <c r="B403" s="27"/>
      <c r="C403" s="28"/>
    </row>
    <row r="404" spans="1:3">
      <c r="A404" s="28"/>
      <c r="B404" s="27"/>
      <c r="C404" s="28"/>
    </row>
    <row r="405" spans="1:3">
      <c r="A405" s="28"/>
      <c r="B405" s="27"/>
      <c r="C405" s="28"/>
    </row>
    <row r="406" spans="1:3">
      <c r="A406" s="28"/>
      <c r="B406" s="27"/>
      <c r="C406" s="28"/>
    </row>
    <row r="407" spans="1:3">
      <c r="A407" s="28"/>
      <c r="B407" s="27"/>
      <c r="C407" s="28"/>
    </row>
    <row r="408" spans="1:3">
      <c r="A408" s="28"/>
      <c r="B408" s="27"/>
      <c r="C408" s="28"/>
    </row>
    <row r="409" spans="1:3">
      <c r="A409" s="28"/>
      <c r="B409" s="27"/>
      <c r="C409" s="28"/>
    </row>
    <row r="410" spans="1:3">
      <c r="A410" s="28"/>
      <c r="B410" s="27"/>
      <c r="C410" s="28"/>
    </row>
    <row r="411" spans="1:3">
      <c r="A411" s="28"/>
      <c r="B411" s="27"/>
      <c r="C411" s="28"/>
    </row>
    <row r="412" spans="1:3">
      <c r="A412" s="28"/>
      <c r="B412" s="27"/>
      <c r="C412" s="28"/>
    </row>
    <row r="413" spans="1:3">
      <c r="A413" s="28"/>
      <c r="B413" s="27"/>
      <c r="C413" s="28"/>
    </row>
    <row r="414" spans="1:3">
      <c r="A414" s="28"/>
      <c r="B414" s="27"/>
      <c r="C414" s="28"/>
    </row>
    <row r="415" spans="1:3">
      <c r="A415" s="28"/>
      <c r="B415" s="27"/>
      <c r="C415" s="28"/>
    </row>
    <row r="416" spans="1:3">
      <c r="A416" s="28"/>
      <c r="B416" s="27"/>
      <c r="C416" s="28"/>
    </row>
    <row r="417" spans="1:3">
      <c r="A417" s="28"/>
      <c r="B417" s="27"/>
      <c r="C417" s="28"/>
    </row>
    <row r="418" spans="1:3">
      <c r="A418" s="28"/>
      <c r="B418" s="27"/>
      <c r="C418" s="28"/>
    </row>
    <row r="419" spans="1:3">
      <c r="A419" s="28"/>
      <c r="B419" s="27"/>
      <c r="C419" s="28"/>
    </row>
    <row r="420" spans="1:3">
      <c r="A420" s="28"/>
      <c r="B420" s="27"/>
      <c r="C420" s="28"/>
    </row>
    <row r="421" spans="1:3">
      <c r="A421" s="28"/>
      <c r="B421" s="27"/>
      <c r="C421" s="28"/>
    </row>
    <row r="422" spans="1:3">
      <c r="A422" s="28"/>
      <c r="B422" s="27"/>
      <c r="C422" s="28"/>
    </row>
    <row r="423" spans="1:3">
      <c r="A423" s="28"/>
      <c r="B423" s="27"/>
      <c r="C423" s="28"/>
    </row>
    <row r="424" spans="1:3">
      <c r="A424" s="28"/>
      <c r="B424" s="27"/>
      <c r="C424" s="28"/>
    </row>
    <row r="425" spans="1:3">
      <c r="A425" s="28"/>
      <c r="B425" s="27"/>
      <c r="C425" s="28"/>
    </row>
    <row r="426" spans="1:3">
      <c r="A426" s="28"/>
      <c r="B426" s="27"/>
      <c r="C426" s="28"/>
    </row>
    <row r="427" spans="1:3">
      <c r="A427" s="28"/>
      <c r="B427" s="27"/>
      <c r="C427" s="28"/>
    </row>
    <row r="428" spans="1:3">
      <c r="A428" s="28"/>
      <c r="B428" s="27"/>
      <c r="C428" s="28"/>
    </row>
    <row r="429" spans="1:3">
      <c r="A429" s="28"/>
      <c r="B429" s="27"/>
      <c r="C429" s="28"/>
    </row>
    <row r="430" spans="1:3">
      <c r="A430" s="28"/>
      <c r="B430" s="27"/>
      <c r="C430" s="28"/>
    </row>
    <row r="431" spans="1:3">
      <c r="A431" s="28"/>
      <c r="B431" s="27"/>
      <c r="C431" s="28"/>
    </row>
    <row r="432" spans="1:3">
      <c r="A432" s="28"/>
      <c r="B432" s="27"/>
      <c r="C432" s="28"/>
    </row>
    <row r="433" spans="1:3">
      <c r="A433" s="28"/>
      <c r="B433" s="27"/>
      <c r="C433" s="28"/>
    </row>
    <row r="434" spans="1:3">
      <c r="A434" s="28"/>
      <c r="B434" s="27"/>
      <c r="C434" s="28"/>
    </row>
    <row r="435" spans="1:3">
      <c r="A435" s="28"/>
      <c r="B435" s="27"/>
      <c r="C435" s="28"/>
    </row>
    <row r="436" spans="1:3">
      <c r="A436" s="28"/>
      <c r="B436" s="27"/>
      <c r="C436" s="28"/>
    </row>
    <row r="437" spans="1:3">
      <c r="A437" s="28"/>
      <c r="B437" s="27"/>
      <c r="C437" s="28"/>
    </row>
    <row r="438" spans="1:3">
      <c r="A438" s="28"/>
      <c r="B438" s="27"/>
      <c r="C438" s="28"/>
    </row>
    <row r="439" spans="1:3">
      <c r="A439" s="28"/>
      <c r="B439" s="27"/>
      <c r="C439" s="28"/>
    </row>
    <row r="440" spans="1:3">
      <c r="A440" s="28"/>
      <c r="B440" s="27"/>
      <c r="C440" s="28"/>
    </row>
    <row r="441" spans="1:3">
      <c r="A441" s="28"/>
      <c r="B441" s="27"/>
      <c r="C441" s="28"/>
    </row>
    <row r="442" spans="1:3">
      <c r="A442" s="28"/>
      <c r="B442" s="27"/>
      <c r="C442" s="28"/>
    </row>
    <row r="443" spans="1:3">
      <c r="A443" s="28"/>
      <c r="B443" s="27"/>
      <c r="C443" s="28"/>
    </row>
    <row r="444" spans="1:3">
      <c r="A444" s="28"/>
      <c r="B444" s="27"/>
      <c r="C444" s="28"/>
    </row>
    <row r="445" spans="1:3">
      <c r="A445" s="28"/>
      <c r="B445" s="27"/>
      <c r="C445" s="28"/>
    </row>
    <row r="446" spans="1:3">
      <c r="A446" s="28"/>
      <c r="B446" s="27"/>
      <c r="C446" s="28"/>
    </row>
    <row r="447" spans="1:3">
      <c r="A447" s="28"/>
      <c r="B447" s="27"/>
      <c r="C447" s="28"/>
    </row>
    <row r="448" spans="1:3">
      <c r="A448" s="28"/>
      <c r="B448" s="27"/>
      <c r="C448" s="28"/>
    </row>
    <row r="449" spans="1:3">
      <c r="A449" s="28"/>
      <c r="B449" s="27"/>
      <c r="C449" s="28"/>
    </row>
    <row r="450" spans="1:3">
      <c r="A450" s="28"/>
      <c r="B450" s="27"/>
      <c r="C450" s="28"/>
    </row>
    <row r="451" spans="1:3">
      <c r="A451" s="28"/>
      <c r="B451" s="27"/>
      <c r="C451" s="28"/>
    </row>
    <row r="452" spans="1:3">
      <c r="A452" s="28"/>
      <c r="B452" s="27"/>
      <c r="C452" s="28"/>
    </row>
    <row r="453" spans="1:3">
      <c r="A453" s="28"/>
      <c r="B453" s="27"/>
      <c r="C453" s="28"/>
    </row>
    <row r="454" spans="1:3">
      <c r="A454" s="28"/>
      <c r="B454" s="27"/>
      <c r="C454" s="28"/>
    </row>
    <row r="455" spans="1:3">
      <c r="A455" s="28"/>
      <c r="B455" s="27"/>
      <c r="C455" s="28"/>
    </row>
    <row r="456" spans="1:3">
      <c r="A456" s="28"/>
      <c r="B456" s="27"/>
      <c r="C456" s="28"/>
    </row>
    <row r="457" spans="1:3">
      <c r="A457" s="28"/>
      <c r="B457" s="27"/>
      <c r="C457" s="28"/>
    </row>
    <row r="458" spans="1:3">
      <c r="A458" s="28"/>
      <c r="B458" s="27"/>
      <c r="C458" s="28"/>
    </row>
    <row r="459" spans="1:3">
      <c r="A459" s="28"/>
      <c r="B459" s="27"/>
      <c r="C459" s="28"/>
    </row>
    <row r="460" spans="1:3">
      <c r="A460" s="28"/>
      <c r="B460" s="27"/>
      <c r="C460" s="28"/>
    </row>
    <row r="461" spans="1:3">
      <c r="A461" s="28"/>
      <c r="B461" s="27"/>
      <c r="C461" s="28"/>
    </row>
    <row r="462" spans="1:3">
      <c r="A462" s="28"/>
      <c r="B462" s="27"/>
      <c r="C462" s="28"/>
    </row>
    <row r="463" spans="1:3">
      <c r="A463" s="28"/>
      <c r="B463" s="27"/>
      <c r="C463" s="28"/>
    </row>
    <row r="464" spans="1:3">
      <c r="A464" s="28"/>
      <c r="B464" s="27"/>
      <c r="C464" s="28"/>
    </row>
    <row r="465" spans="1:3">
      <c r="A465" s="28"/>
      <c r="B465" s="27"/>
      <c r="C465" s="28"/>
    </row>
    <row r="466" spans="1:3">
      <c r="A466" s="28"/>
      <c r="B466" s="27"/>
      <c r="C466" s="28"/>
    </row>
    <row r="467" spans="1:3">
      <c r="A467" s="28"/>
      <c r="B467" s="27"/>
      <c r="C467" s="28"/>
    </row>
    <row r="468" spans="1:3">
      <c r="A468" s="28"/>
      <c r="B468" s="27"/>
      <c r="C468" s="28"/>
    </row>
    <row r="469" spans="1:3">
      <c r="A469" s="28"/>
      <c r="B469" s="27"/>
      <c r="C469" s="28"/>
    </row>
    <row r="470" spans="1:3">
      <c r="A470" s="28"/>
      <c r="B470" s="27"/>
      <c r="C470" s="28"/>
    </row>
    <row r="471" spans="1:3">
      <c r="A471" s="28"/>
      <c r="B471" s="27"/>
      <c r="C471" s="28"/>
    </row>
    <row r="472" spans="1:3">
      <c r="A472" s="28"/>
      <c r="B472" s="27"/>
      <c r="C472" s="28"/>
    </row>
    <row r="473" spans="1:3">
      <c r="A473" s="28"/>
      <c r="B473" s="27"/>
      <c r="C473" s="28"/>
    </row>
    <row r="474" spans="1:3">
      <c r="A474" s="28"/>
      <c r="B474" s="27"/>
      <c r="C474" s="28"/>
    </row>
    <row r="475" spans="1:3">
      <c r="A475" s="28"/>
      <c r="B475" s="27"/>
      <c r="C475" s="28"/>
    </row>
    <row r="476" spans="1:3">
      <c r="A476" s="28"/>
      <c r="B476" s="27"/>
      <c r="C476" s="28"/>
    </row>
    <row r="477" spans="1:3">
      <c r="A477" s="28"/>
      <c r="B477" s="27"/>
      <c r="C477" s="28"/>
    </row>
    <row r="478" spans="1:3">
      <c r="A478" s="28"/>
      <c r="B478" s="27"/>
      <c r="C478" s="28"/>
    </row>
    <row r="479" spans="1:3">
      <c r="A479" s="28"/>
      <c r="B479" s="27"/>
      <c r="C479" s="28"/>
    </row>
    <row r="480" spans="1:3">
      <c r="A480" s="28"/>
      <c r="B480" s="27"/>
      <c r="C480" s="28"/>
    </row>
    <row r="481" spans="1:3">
      <c r="A481" s="28"/>
      <c r="B481" s="27"/>
      <c r="C481" s="28"/>
    </row>
    <row r="482" spans="1:3">
      <c r="B482" s="27"/>
      <c r="C482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"/>
  <sheetViews>
    <sheetView workbookViewId="0">
      <selection activeCell="D28" sqref="D28"/>
    </sheetView>
  </sheetViews>
  <sheetFormatPr defaultRowHeight="16.5"/>
  <sheetData>
    <row r="1" spans="1:3" ht="33" customHeight="1">
      <c r="A1" s="22" t="s">
        <v>34</v>
      </c>
      <c r="B1" s="23" t="str">
        <f>발송요청서!$C$5</f>
        <v>웹케시</v>
      </c>
      <c r="C1" s="24" t="s">
        <v>35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1</vt:i4>
      </vt:variant>
    </vt:vector>
  </HeadingPairs>
  <TitlesOfParts>
    <vt:vector size="4" baseType="lpstr">
      <vt:lpstr>발송요청서</vt:lpstr>
      <vt:lpstr>발송자 명단</vt:lpstr>
      <vt:lpstr>Ref.</vt:lpstr>
      <vt:lpstr>발송요청서!Print_Area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박세희</dc:creator>
  <cp:lastModifiedBy>하 수경</cp:lastModifiedBy>
  <cp:lastPrinted>2017-11-07T08:03:53Z</cp:lastPrinted>
  <dcterms:created xsi:type="dcterms:W3CDTF">2014-04-10T00:02:02Z</dcterms:created>
  <dcterms:modified xsi:type="dcterms:W3CDTF">2026-05-08T05:06:17Z</dcterms:modified>
</cp:coreProperties>
</file>